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 industry" sheetId="1" state="visible" r:id="rId3"/>
    <sheet name="Architects working alo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<sst xmlns="http://schemas.openxmlformats.org/spreadsheetml/2006/main" count="50" uniqueCount="49">
  <si>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People employed in the architecture and design industry, Australia</t>
  </si>
  <si>
    <t xml:space="preserve">Data behind chart 19 (section I).</t>
  </si>
  <si>
    <t xml:space="preserve">Census year</t>
  </si>
  <si>
    <t xml:space="preserve">People employed</t>
  </si>
  <si>
    <t xml:space="preserve">Change since previous Census</t>
  </si>
  <si>
    <t xml:space="preserve">% change since previous Census</t>
  </si>
  <si>
    <t xml:space="preserve">Average yearly change (people)</t>
  </si>
  <si>
    <t xml:space="preserve">2006</t>
  </si>
  <si>
    <t xml:space="preserve">2011</t>
  </si>
  <si>
    <t xml:space="preserve">2016</t>
  </si>
  <si>
    <t xml:space="preserve">2006 to 2016</t>
  </si>
  <si>
    <t xml:space="preserve">Total change</t>
  </si>
  <si>
    <t xml:space="preserve">% change</t>
  </si>
  <si>
    <t xml:space="preserve">Average yearly growth</t>
  </si>
  <si>
    <t xml:space="preserve">Average extra people per year</t>
  </si>
  <si>
    <t xml:space="preserve">Notes</t>
  </si>
  <si>
    <t xml:space="preserve">Blue numbers are typed in from the source; black cells are formulas.</t>
  </si>
  <si>
    <t xml:space="preserve">Source: Queensland University of Technology Digital Media Research Centre (S. Cunningham and M. McCutcheon), The Creative Economy in Australia, Factsheet 2: Employment by sector (2018), Table 4, from the ABS Census. https://research.qut.edu.au/dmrc/wp-content/uploads/sites/5/2018/10/Factsheet-2-Employment-by-sector-V6.pdf</t>
  </si>
  <si>
    <t xml:space="preserve">Counts people employed in the architecture and design industry sector, including support staff (e.g. managers, admin), not only designers.</t>
  </si>
  <si>
    <t xml:space="preserve">The source reports average annual growth of 3.3% (2006-2016) and 3.2% (2011-2016), and about 2,270 extra people a year for 2011-2016.</t>
  </si>
  <si>
    <t xml:space="preserve">A 2021 figure exists in Creative Australia, The Creative Economy in Australia: Briefing paper 1 (2023), which could not be read here.</t>
  </si>
  <si>
    <t xml:space="preserve">Architects by employment situation, by state, 2011 Census</t>
  </si>
  <si>
    <t xml:space="preserve">Data behind chart 17 (section II).</t>
  </si>
  <si>
    <t xml:space="preserve">State</t>
  </si>
  <si>
    <t xml:space="preserve">Abbr</t>
  </si>
  <si>
    <t xml:space="preserve">Employees</t>
  </si>
  <si>
    <t xml:space="preserve">Working alone (own account)</t>
  </si>
  <si>
    <t xml:space="preserve">Employing others (employers)</t>
  </si>
  <si>
    <t xml:space="preserve">Total (employment stated)</t>
  </si>
  <si>
    <t xml:space="preserve">Share working alone</t>
  </si>
  <si>
    <t xml:space="preserve">New South Wales</t>
  </si>
  <si>
    <t xml:space="preserve">NSW</t>
  </si>
  <si>
    <t xml:space="preserve">Victoria</t>
  </si>
  <si>
    <t xml:space="preserve">VIC</t>
  </si>
  <si>
    <t xml:space="preserve">Queensland</t>
  </si>
  <si>
    <t xml:space="preserve">QLD</t>
  </si>
  <si>
    <t xml:space="preserve">South Australia</t>
  </si>
  <si>
    <t xml:space="preserve">SA</t>
  </si>
  <si>
    <t xml:space="preserve">Western Australia</t>
  </si>
  <si>
    <t xml:space="preserve">WA</t>
  </si>
  <si>
    <t xml:space="preserve">Tasmania</t>
  </si>
  <si>
    <t xml:space="preserve">TAS</t>
  </si>
  <si>
    <t xml:space="preserve">Northern Territory</t>
  </si>
  <si>
    <t xml:space="preserve">NT</t>
  </si>
  <si>
    <t xml:space="preserve">Australian Capital Territory</t>
  </si>
  <si>
    <t xml:space="preserve">ACT</t>
  </si>
  <si>
    <t xml:space="preserve">Australia</t>
  </si>
  <si>
    <t xml:space="preserve">Source: Association of Consulting Architects (ACA), Architects in Australia state and territory reports (Gill Matthewson), Table 3, from the ABS Census 2011. https://aca.org.au/architects-in-australia/</t>
  </si>
  <si>
    <t xml:space="preserve">Totals exclude a small number of architects whose employment situation was not stated.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</si>
</sst>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294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9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4" min="3" style="1" width="22"/>
    <col collapsed="false" customWidth="true" hidden="false" outlineLevel="0" max="5" min="5" style="1" width="2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v>55840</v>
      </c>
    </row>
    <row r="6" customFormat="false" ht="15" hidden="false" customHeight="true" outlineLevel="0" collapsed="false">
      <c r="A6" s="5" t="s">
        <v>8</v>
      </c>
      <c r="B6" s="6" t="n">
        <v>65590</v>
      </c>
      <c r="C6" s="7" t="n">
        <f aca="false">B6-B5</f>
        <v>9750</v>
      </c>
      <c r="D6" s="8" t="n">
        <f aca="false">B6/B5-1</f>
        <v>0.174606017191977</v>
      </c>
      <c r="E6" s="7" t="n">
        <f aca="false">C6/5</f>
        <v>1950</v>
      </c>
    </row>
    <row r="7" customFormat="false" ht="15" hidden="false" customHeight="true" outlineLevel="0" collapsed="false">
      <c r="A7" s="5" t="s">
        <v>9</v>
      </c>
      <c r="B7" s="6" t="n">
        <v>76940</v>
      </c>
      <c r="C7" s="7" t="n">
        <f aca="false">B7-B6</f>
        <v>11350</v>
      </c>
      <c r="D7" s="8" t="n">
        <f aca="false">B7/B6-1</f>
        <v>0.173044671443818</v>
      </c>
      <c r="E7" s="7" t="n">
        <f aca="false">C7/5</f>
        <v>2270</v>
      </c>
    </row>
    <row r="9" customFormat="false" ht="15" hidden="false" customHeight="true" outlineLevel="0" collapsed="false">
      <c r="A9" s="9" t="s">
        <v>10</v>
      </c>
      <c r="B9" s="7" t="n">
        <f aca="false">B7-B5</f>
        <v>21100</v>
      </c>
      <c r="C9" s="1" t="s">
        <v>11</v>
      </c>
    </row>
    <row r="10" customFormat="false" ht="15" hidden="false" customHeight="true" outlineLevel="0" collapsed="false">
      <c r="A10" s="5" t="s">
        <v>12</v>
      </c>
      <c r="B10" s="8" t="n">
        <f aca="false">B7/B5-1</f>
        <v>0.377865329512894</v>
      </c>
    </row>
    <row r="11" customFormat="false" ht="15" hidden="false" customHeight="true" outlineLevel="0" collapsed="false">
      <c r="A11" s="5" t="s">
        <v>13</v>
      </c>
      <c r="B11" s="8" t="n">
        <f aca="false">(B7/B5)^(1/10)-1</f>
        <v>0.0325727917858647</v>
      </c>
    </row>
    <row r="12" customFormat="false" ht="15" hidden="false" customHeight="true" outlineLevel="0" collapsed="false">
      <c r="A12" s="5" t="s">
        <v>14</v>
      </c>
      <c r="B12" s="7" t="n">
        <f aca="false">(B7-B5)/10</f>
        <v>2110</v>
      </c>
    </row>
    <row r="14" customFormat="false" ht="15" hidden="false" customHeight="true" outlineLevel="0" collapsed="false">
      <c r="A14" s="10" t="s">
        <v>15</v>
      </c>
    </row>
    <row r="15" customFormat="false" ht="15" hidden="false" customHeight="true" outlineLevel="0" collapsed="false">
      <c r="A15" s="11" t="s">
        <v>16</v>
      </c>
    </row>
    <row r="16" customFormat="false" ht="15" hidden="false" customHeight="true" outlineLevel="0" collapsed="false">
      <c r="A16" s="11" t="s">
        <v>17</v>
      </c>
    </row>
    <row r="17" customFormat="false" ht="15" hidden="false" customHeight="true" outlineLevel="0" collapsed="false">
      <c r="A17" s="11" t="s">
        <v>18</v>
      </c>
    </row>
    <row r="18" customFormat="false" ht="15" hidden="false" customHeight="true" outlineLevel="0" collapsed="false">
      <c r="A18" s="11" t="s">
        <v>19</v>
      </c>
    </row>
    <row r="19" customFormat="false" ht="15" hidden="false" customHeight="true" outlineLevel="0" collapsed="false">
      <c r="A19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6" min="4" style="1" width="16"/>
    <col collapsed="false" customWidth="true" hidden="false" outlineLevel="0" max="7" min="7" style="1" width="14"/>
  </cols>
  <sheetData>
    <row r="1" customFormat="false" ht="15.75" hidden="false" customHeight="true" outlineLevel="0" collapsed="false">
      <c r="A1" s="2" t="s">
        <v>21</v>
      </c>
    </row>
    <row r="2" customFormat="false" ht="15" hidden="false" customHeight="true" outlineLevel="0" collapsed="false">
      <c r="A2" s="3" t="s">
        <v>22</v>
      </c>
    </row>
    <row r="4" customFormat="false" ht="31.5" hidden="false" customHeight="tru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</row>
    <row r="5" customFormat="false" ht="15" hidden="false" customHeight="true" outlineLevel="0" collapsed="false">
      <c r="A5" s="5" t="s">
        <v>30</v>
      </c>
      <c r="B5" s="5" t="s">
        <v>31</v>
      </c>
      <c r="C5" s="6" t="n">
        <v>3107</v>
      </c>
      <c r="D5" s="6" t="n">
        <v>757</v>
      </c>
      <c r="E5" s="6" t="n">
        <v>1255</v>
      </c>
      <c r="F5" s="7" t="n">
        <f aca="false">SUM(C5:E5)</f>
        <v>5119</v>
      </c>
      <c r="G5" s="8" t="n">
        <f aca="false">D5/F5</f>
        <v>0.147880445399492</v>
      </c>
    </row>
    <row r="6" customFormat="false" ht="15" hidden="false" customHeight="true" outlineLevel="0" collapsed="false">
      <c r="A6" s="5" t="s">
        <v>32</v>
      </c>
      <c r="B6" s="5" t="s">
        <v>33</v>
      </c>
      <c r="C6" s="6" t="n">
        <v>2960</v>
      </c>
      <c r="D6" s="6" t="n">
        <v>631</v>
      </c>
      <c r="E6" s="6" t="n">
        <v>1037</v>
      </c>
      <c r="F6" s="7" t="n">
        <f aca="false">SUM(C6:E6)</f>
        <v>4628</v>
      </c>
      <c r="G6" s="8" t="n">
        <f aca="false">D6/F6</f>
        <v>0.136343993085566</v>
      </c>
    </row>
    <row r="7" customFormat="false" ht="15" hidden="false" customHeight="true" outlineLevel="0" collapsed="false">
      <c r="A7" s="5" t="s">
        <v>34</v>
      </c>
      <c r="B7" s="5" t="s">
        <v>35</v>
      </c>
      <c r="C7" s="6" t="n">
        <v>1499</v>
      </c>
      <c r="D7" s="6" t="n">
        <v>260</v>
      </c>
      <c r="E7" s="6" t="n">
        <v>515</v>
      </c>
      <c r="F7" s="7" t="n">
        <f aca="false">SUM(C7:E7)</f>
        <v>2274</v>
      </c>
      <c r="G7" s="8" t="n">
        <f aca="false">D7/F7</f>
        <v>0.114335971855761</v>
      </c>
    </row>
    <row r="8" customFormat="false" ht="15" hidden="false" customHeight="true" outlineLevel="0" collapsed="false">
      <c r="A8" s="5" t="s">
        <v>36</v>
      </c>
      <c r="B8" s="5" t="s">
        <v>37</v>
      </c>
      <c r="C8" s="6" t="n">
        <v>497</v>
      </c>
      <c r="D8" s="6" t="n">
        <v>145</v>
      </c>
      <c r="E8" s="6" t="n">
        <v>142</v>
      </c>
      <c r="F8" s="7" t="n">
        <f aca="false">SUM(C8:E8)</f>
        <v>784</v>
      </c>
      <c r="G8" s="8" t="n">
        <f aca="false">D8/F8</f>
        <v>0.184948979591837</v>
      </c>
    </row>
    <row r="9" customFormat="false" ht="15" hidden="false" customHeight="true" outlineLevel="0" collapsed="false">
      <c r="A9" s="5" t="s">
        <v>38</v>
      </c>
      <c r="B9" s="5" t="s">
        <v>39</v>
      </c>
      <c r="C9" s="6" t="n">
        <v>865</v>
      </c>
      <c r="D9" s="6" t="n">
        <v>200</v>
      </c>
      <c r="E9" s="6" t="n">
        <v>287</v>
      </c>
      <c r="F9" s="7" t="n">
        <f aca="false">SUM(C9:E9)</f>
        <v>1352</v>
      </c>
      <c r="G9" s="8" t="n">
        <f aca="false">D9/F9</f>
        <v>0.14792899408284</v>
      </c>
    </row>
    <row r="10" customFormat="false" ht="15" hidden="false" customHeight="true" outlineLevel="0" collapsed="false">
      <c r="A10" s="5" t="s">
        <v>40</v>
      </c>
      <c r="B10" s="5" t="s">
        <v>41</v>
      </c>
      <c r="C10" s="6" t="n">
        <v>118</v>
      </c>
      <c r="D10" s="6" t="n">
        <v>69</v>
      </c>
      <c r="E10" s="6" t="n">
        <v>63</v>
      </c>
      <c r="F10" s="7" t="n">
        <f aca="false">SUM(C10:E10)</f>
        <v>250</v>
      </c>
      <c r="G10" s="8" t="n">
        <f aca="false">D10/F10</f>
        <v>0.276</v>
      </c>
    </row>
    <row r="11" customFormat="false" ht="15" hidden="false" customHeight="true" outlineLevel="0" collapsed="false">
      <c r="A11" s="5" t="s">
        <v>42</v>
      </c>
      <c r="B11" s="5" t="s">
        <v>43</v>
      </c>
      <c r="C11" s="6" t="n">
        <v>53</v>
      </c>
      <c r="D11" s="6" t="n">
        <v>7</v>
      </c>
      <c r="E11" s="6" t="n">
        <v>18</v>
      </c>
      <c r="F11" s="7" t="n">
        <f aca="false">SUM(C11:E11)</f>
        <v>78</v>
      </c>
      <c r="G11" s="8" t="n">
        <f aca="false">D11/F11</f>
        <v>0.0897435897435897</v>
      </c>
    </row>
    <row r="12" customFormat="false" ht="15" hidden="false" customHeight="true" outlineLevel="0" collapsed="false">
      <c r="A12" s="5" t="s">
        <v>44</v>
      </c>
      <c r="B12" s="5" t="s">
        <v>45</v>
      </c>
      <c r="C12" s="6" t="n">
        <v>213</v>
      </c>
      <c r="D12" s="6" t="n">
        <v>29</v>
      </c>
      <c r="E12" s="6" t="n">
        <v>68</v>
      </c>
      <c r="F12" s="7" t="n">
        <f aca="false">SUM(C12:E12)</f>
        <v>310</v>
      </c>
      <c r="G12" s="8" t="n">
        <f aca="false">D12/F12</f>
        <v>0.0935483870967742</v>
      </c>
    </row>
    <row r="13" customFormat="false" ht="15" hidden="false" customHeight="true" outlineLevel="0" collapsed="false">
      <c r="A13" s="9" t="s">
        <v>46</v>
      </c>
      <c r="C13" s="12" t="n">
        <f aca="false">SUM(C5:C12)</f>
        <v>9312</v>
      </c>
      <c r="D13" s="12" t="n">
        <f aca="false">SUM(D5:D12)</f>
        <v>2098</v>
      </c>
      <c r="E13" s="12" t="n">
        <f aca="false">SUM(E5:E12)</f>
        <v>3385</v>
      </c>
      <c r="F13" s="12" t="n">
        <f aca="false">SUM(F5:F12)</f>
        <v>14795</v>
      </c>
      <c r="G13" s="8" t="n">
        <f aca="false">D13/F13</f>
        <v>0.141804663737749</v>
      </c>
    </row>
    <row r="15" customFormat="false" ht="15" hidden="false" customHeight="true" outlineLevel="0" collapsed="false">
      <c r="A15" s="10" t="s">
        <v>15</v>
      </c>
    </row>
    <row r="16" customFormat="false" ht="15" hidden="false" customHeight="true" outlineLevel="0" collapsed="false">
      <c r="A16" s="11" t="s">
        <v>47</v>
      </c>
    </row>
    <row r="17" customFormat="false" ht="15" hidden="false" customHeight="true" outlineLevel="0" collapsed="false">
      <c r="A17" s="1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2026-10-20T17:17:22Z</dcterms:created>
  <dc:creator>openpyxl</dc:creator>
  <dc:description/>
  <dc:language>en-US</dc:language>
  <cp:lastModifiedBy/>
  <dcterms:modified xsi:type="dcterms:W3CDTF">2026-10-20T17:22:50Z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