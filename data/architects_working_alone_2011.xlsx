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chitects 20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<sst xmlns="http://schemas.openxmlformats.org/spreadsheetml/2006/main" count="33" uniqueCount="33">
  <si>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Architects by employment situation, by state and territory, 2011 Census</t>
  </si>
  <si>
    <t xml:space="preserve">Data behind chart 17: share of architects working alone (own account worker, no employees).</t>
  </si>
  <si>
    <t xml:space="preserve">State</t>
  </si>
  <si>
    <t xml:space="preserve">Abbr</t>
  </si>
  <si>
    <t xml:space="preserve">Employees</t>
  </si>
  <si>
    <t xml:space="preserve">Working alone (own account)</t>
  </si>
  <si>
    <t xml:space="preserve">Employing others (employers)</t>
  </si>
  <si>
    <t xml:space="preserve">Total (employment stated)</t>
  </si>
  <si>
    <t xml:space="preserve">Share working alone</t>
  </si>
  <si>
    <t xml:space="preserve">Share running own practice</t>
  </si>
  <si>
    <t xml:space="preserve">New South Wales</t>
  </si>
  <si>
    <t xml:space="preserve">NSW</t>
  </si>
  <si>
    <t xml:space="preserve">Victoria</t>
  </si>
  <si>
    <t xml:space="preserve">VIC</t>
  </si>
  <si>
    <t xml:space="preserve">Queensland</t>
  </si>
  <si>
    <t xml:space="preserve">QLD</t>
  </si>
  <si>
    <t xml:space="preserve">South Australia</t>
  </si>
  <si>
    <t xml:space="preserve">SA</t>
  </si>
  <si>
    <t xml:space="preserve">Western Australia</t>
  </si>
  <si>
    <t xml:space="preserve">WA</t>
  </si>
  <si>
    <t xml:space="preserve">Tasmania</t>
  </si>
  <si>
    <t xml:space="preserve">TAS</t>
  </si>
  <si>
    <t xml:space="preserve">Northern Territory</t>
  </si>
  <si>
    <t xml:space="preserve">NT</t>
  </si>
  <si>
    <t xml:space="preserve">Australian Capital Territory</t>
  </si>
  <si>
    <t xml:space="preserve">ACT</t>
  </si>
  <si>
    <t xml:space="preserve">Australia</t>
  </si>
  <si>
    <t xml:space="preserve">Notes</t>
  </si>
  <si>
    <t xml:space="preserve">Blue numbers are typed in from the source; black cells are formulas.</t>
  </si>
  <si>
    <t xml:space="preserve">Source: Association of Consulting Architects (ACA), "Architects in Australia" state and territory reports by Gill Matthewson, Table 3: Architects by employment situation, from the ABS Census of Population and Housing 2011. https://aca.org.au/architects-in-australia/</t>
  </si>
  <si>
    <t xml:space="preserve">"Working alone" = Census "own account worker" (runs a business with no employees). "Employing others" = Census "employer".</t>
  </si>
  <si>
    <t xml:space="preserve">Totals are the three categories added together, so they exclude a small number of architects whose employment situation was not stated (e.g. NSW Table 1 total is 5,185).</t>
  </si>
  <si>
    <t xml:space="preserve">The 2011 Census changed how owner-managers were categorised, so compare with earlier Censuses with caution.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</si>
</sst>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294A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29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8" min="8" style="0" width="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n">
        <v>3107</v>
      </c>
      <c r="D5" s="5" t="n">
        <v>757</v>
      </c>
      <c r="E5" s="5" t="n">
        <v>1255</v>
      </c>
      <c r="F5" s="6" t="n">
        <f aca="false">SUM(C5:E5)</f>
        <v>5119</v>
      </c>
      <c r="G5" s="7" t="n">
        <f aca="false">IF(F5=0,0,D5/F5)</f>
        <v>0.147880445399492</v>
      </c>
      <c r="H5" s="7" t="n">
        <f aca="false">IF(F5=0,0,(D5+E5)/F5)</f>
        <v>0.393045516702481</v>
      </c>
    </row>
    <row r="6" customFormat="false" ht="15" hidden="false" customHeight="false" outlineLevel="0" collapsed="false">
      <c r="A6" s="4" t="s">
        <v>12</v>
      </c>
      <c r="B6" s="4" t="s">
        <v>13</v>
      </c>
      <c r="C6" s="5" t="n">
        <v>2960</v>
      </c>
      <c r="D6" s="5" t="n">
        <v>631</v>
      </c>
      <c r="E6" s="5" t="n">
        <v>1037</v>
      </c>
      <c r="F6" s="6" t="n">
        <f aca="false">SUM(C6:E6)</f>
        <v>4628</v>
      </c>
      <c r="G6" s="7" t="n">
        <f aca="false">IF(F6=0,0,D6/F6)</f>
        <v>0.136343993085566</v>
      </c>
      <c r="H6" s="7" t="n">
        <f aca="false">IF(F6=0,0,(D6+E6)/F6)</f>
        <v>0.360414866032844</v>
      </c>
    </row>
    <row r="7" customFormat="false" ht="15" hidden="false" customHeight="false" outlineLevel="0" collapsed="false">
      <c r="A7" s="4" t="s">
        <v>14</v>
      </c>
      <c r="B7" s="4" t="s">
        <v>15</v>
      </c>
      <c r="C7" s="5" t="n">
        <v>1499</v>
      </c>
      <c r="D7" s="5" t="n">
        <v>260</v>
      </c>
      <c r="E7" s="5" t="n">
        <v>515</v>
      </c>
      <c r="F7" s="6" t="n">
        <f aca="false">SUM(C7:E7)</f>
        <v>2274</v>
      </c>
      <c r="G7" s="7" t="n">
        <f aca="false">IF(F7=0,0,D7/F7)</f>
        <v>0.114335971855761</v>
      </c>
      <c r="H7" s="7" t="n">
        <f aca="false">IF(F7=0,0,(D7+E7)/F7)</f>
        <v>0.340809146877748</v>
      </c>
    </row>
    <row r="8" customFormat="false" ht="15" hidden="false" customHeight="false" outlineLevel="0" collapsed="false">
      <c r="A8" s="4" t="s">
        <v>16</v>
      </c>
      <c r="B8" s="4" t="s">
        <v>17</v>
      </c>
      <c r="C8" s="5" t="n">
        <v>497</v>
      </c>
      <c r="D8" s="5" t="n">
        <v>145</v>
      </c>
      <c r="E8" s="5" t="n">
        <v>142</v>
      </c>
      <c r="F8" s="6" t="n">
        <f aca="false">SUM(C8:E8)</f>
        <v>784</v>
      </c>
      <c r="G8" s="7" t="n">
        <f aca="false">IF(F8=0,0,D8/F8)</f>
        <v>0.184948979591837</v>
      </c>
      <c r="H8" s="7" t="n">
        <f aca="false">IF(F8=0,0,(D8+E8)/F8)</f>
        <v>0.366071428571429</v>
      </c>
    </row>
    <row r="9" customFormat="false" ht="15" hidden="false" customHeight="false" outlineLevel="0" collapsed="false">
      <c r="A9" s="4" t="s">
        <v>18</v>
      </c>
      <c r="B9" s="4" t="s">
        <v>19</v>
      </c>
      <c r="C9" s="5" t="n">
        <v>865</v>
      </c>
      <c r="D9" s="5" t="n">
        <v>200</v>
      </c>
      <c r="E9" s="5" t="n">
        <v>287</v>
      </c>
      <c r="F9" s="6" t="n">
        <f aca="false">SUM(C9:E9)</f>
        <v>1352</v>
      </c>
      <c r="G9" s="7" t="n">
        <f aca="false">IF(F9=0,0,D9/F9)</f>
        <v>0.14792899408284</v>
      </c>
      <c r="H9" s="7" t="n">
        <f aca="false">IF(F9=0,0,(D9+E9)/F9)</f>
        <v>0.360207100591716</v>
      </c>
    </row>
    <row r="10" customFormat="false" ht="15" hidden="false" customHeight="false" outlineLevel="0" collapsed="false">
      <c r="A10" s="4" t="s">
        <v>20</v>
      </c>
      <c r="B10" s="4" t="s">
        <v>21</v>
      </c>
      <c r="C10" s="5" t="n">
        <v>118</v>
      </c>
      <c r="D10" s="5" t="n">
        <v>69</v>
      </c>
      <c r="E10" s="5" t="n">
        <v>63</v>
      </c>
      <c r="F10" s="6" t="n">
        <f aca="false">SUM(C10:E10)</f>
        <v>250</v>
      </c>
      <c r="G10" s="7" t="n">
        <f aca="false">IF(F10=0,0,D10/F10)</f>
        <v>0.276</v>
      </c>
      <c r="H10" s="7" t="n">
        <f aca="false">IF(F10=0,0,(D10+E10)/F10)</f>
        <v>0.528</v>
      </c>
    </row>
    <row r="11" customFormat="false" ht="15" hidden="false" customHeight="false" outlineLevel="0" collapsed="false">
      <c r="A11" s="4" t="s">
        <v>22</v>
      </c>
      <c r="B11" s="4" t="s">
        <v>23</v>
      </c>
      <c r="C11" s="5" t="n">
        <v>53</v>
      </c>
      <c r="D11" s="5" t="n">
        <v>7</v>
      </c>
      <c r="E11" s="5" t="n">
        <v>18</v>
      </c>
      <c r="F11" s="6" t="n">
        <f aca="false">SUM(C11:E11)</f>
        <v>78</v>
      </c>
      <c r="G11" s="7" t="n">
        <f aca="false">IF(F11=0,0,D11/F11)</f>
        <v>0.0897435897435897</v>
      </c>
      <c r="H11" s="7" t="n">
        <f aca="false">IF(F11=0,0,(D11+E11)/F11)</f>
        <v>0.320512820512821</v>
      </c>
    </row>
    <row r="12" customFormat="false" ht="15" hidden="false" customHeight="false" outlineLevel="0" collapsed="false">
      <c r="A12" s="4" t="s">
        <v>24</v>
      </c>
      <c r="B12" s="4" t="s">
        <v>25</v>
      </c>
      <c r="C12" s="5" t="n">
        <v>213</v>
      </c>
      <c r="D12" s="5" t="n">
        <v>29</v>
      </c>
      <c r="E12" s="5" t="n">
        <v>68</v>
      </c>
      <c r="F12" s="6" t="n">
        <f aca="false">SUM(C12:E12)</f>
        <v>310</v>
      </c>
      <c r="G12" s="7" t="n">
        <f aca="false">IF(F12=0,0,D12/F12)</f>
        <v>0.0935483870967742</v>
      </c>
      <c r="H12" s="7" t="n">
        <f aca="false">IF(F12=0,0,(D12+E12)/F12)</f>
        <v>0.312903225806452</v>
      </c>
    </row>
    <row r="13" customFormat="false" ht="15" hidden="false" customHeight="false" outlineLevel="0" collapsed="false">
      <c r="A13" s="8" t="s">
        <v>26</v>
      </c>
      <c r="B13" s="9"/>
      <c r="C13" s="10" t="n">
        <f aca="false">SUM(C5:C12)</f>
        <v>9312</v>
      </c>
      <c r="D13" s="10" t="n">
        <f aca="false">SUM(D5:D12)</f>
        <v>2098</v>
      </c>
      <c r="E13" s="10" t="n">
        <f aca="false">SUM(E5:E12)</f>
        <v>3385</v>
      </c>
      <c r="F13" s="10" t="n">
        <f aca="false">SUM(F5:F12)</f>
        <v>14795</v>
      </c>
      <c r="G13" s="11" t="n">
        <f aca="false">IF(F13=0,0,D13/F13)</f>
        <v>0.141804663737749</v>
      </c>
      <c r="H13" s="11" t="n">
        <f aca="false">IF(F13=0,0,(D13+E13)/F13)</f>
        <v>0.370598175059142</v>
      </c>
    </row>
    <row r="15" customFormat="false" ht="15" hidden="false" customHeight="false" outlineLevel="0" collapsed="false">
      <c r="A15" s="12" t="s">
        <v>27</v>
      </c>
    </row>
    <row r="16" customFormat="false" ht="15" hidden="false" customHeight="false" outlineLevel="0" collapsed="false">
      <c r="A16" s="13" t="s">
        <v>28</v>
      </c>
    </row>
    <row r="17" customFormat="false" ht="15" hidden="false" customHeight="false" outlineLevel="0" collapsed="false">
      <c r="A17" s="13" t="s">
        <v>29</v>
      </c>
    </row>
    <row r="18" customFormat="false" ht="15" hidden="false" customHeight="false" outlineLevel="0" collapsed="false">
      <c r="A18" s="13" t="s">
        <v>30</v>
      </c>
    </row>
    <row r="19" customFormat="false" ht="15" hidden="false" customHeight="false" outlineLevel="0" collapsed="false">
      <c r="A19" s="13" t="s">
        <v>31</v>
      </c>
    </row>
    <row r="20" customFormat="false" ht="15" hidden="false" customHeight="false" outlineLevel="0" collapsed="false">
      <c r="A20" s="1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2026-10-20T13:05:33Z</dcterms:created>
  <dc:creator>openpyxl</dc:creator>
  <dc:description/>
  <dc:language>en-US</dc:language>
  <cp:lastModifiedBy/>
  <dcterms:modified xsi:type="dcterms:W3CDTF">2026-10-20T13:05:33Z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