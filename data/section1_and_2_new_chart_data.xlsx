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ign industry" sheetId="1" state="visible" r:id="rId3"/>
    <sheet name="Architects working alone" sheetId="2" state="visible" r:id="rId4"/>
    <sheet name="Design businesses by state" sheetId="3" state="visible" r:id="rId5"/>
    <sheet name="Design workforce late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<sst xmlns="http://schemas.openxmlformats.org/spreadsheetml/2006/main" count="252" uniqueCount="103">
  <si>
    <t xml:space="preserve">People employed in the architecture and design industry, Australia</t>
  </si>
  <si>
    <t xml:space="preserve">Data behind chart 19 (section I).</t>
  </si>
  <si>
    <t xml:space="preserve">Census year</t>
  </si>
  <si>
    <t xml:space="preserve">People employed</t>
  </si>
  <si>
    <t xml:space="preserve">Change since previous Census</t>
  </si>
  <si>
    <t xml:space="preserve">% change since previous Census</t>
  </si>
  <si>
    <t xml:space="preserve">Average yearly change (people)</t>
  </si>
  <si>
    <t xml:space="preserve">2006</t>
  </si>
  <si>
    <t xml:space="preserve">2011</t>
  </si>
  <si>
    <t xml:space="preserve">2016</t>
  </si>
  <si>
    <t xml:space="preserve">2006 to 2016</t>
  </si>
  <si>
    <t xml:space="preserve">Total change</t>
  </si>
  <si>
    <t xml:space="preserve">% change</t>
  </si>
  <si>
    <t xml:space="preserve">Average yearly growth</t>
  </si>
  <si>
    <t xml:space="preserve">Average extra people per year</t>
  </si>
  <si>
    <t xml:space="preserve">Notes</t>
  </si>
  <si>
    <t xml:space="preserve">Blue numbers are typed in from the source; black cells are formulas.</t>
  </si>
  <si>
    <t xml:space="preserve">Source: Queensland University of Technology Digital Media Research Centre (S. Cunningham and M. McCutcheon), The Creative Economy in Australia, Factsheet 2: Employment by sector (2018), Table 4, from the ABS Census. https://research.qut.edu.au/dmrc/wp-content/uploads/sites/5/2018/10/Factsheet-2-Employment-by-sector-V6.pdf</t>
  </si>
  <si>
    <t xml:space="preserve">Counts people employed in the architecture and design industry sector, including support staff (e.g. managers, admin), not only designers.</t>
  </si>
  <si>
    <t xml:space="preserve">The source reports average annual growth of 3.3% (2006-2016) and 3.2% (2011-2016), and about 2,270 extra people a year for 2011-2016.</t>
  </si>
  <si>
    <t xml:space="preserve">A 2021 figure exists in Creative Australia, The Creative Economy in Australia: Briefing paper 1 (2023), which could not be read here.</t>
  </si>
  <si>
    <t xml:space="preserve">Architects by employment situation, by state, Census 2001, 2006 and 2011</t>
  </si>
  <si>
    <t xml:space="preserve">Data behind chart 17 (section II, year slider).</t>
  </si>
  <si>
    <t xml:space="preserve">State</t>
  </si>
  <si>
    <t xml:space="preserve">Abbr</t>
  </si>
  <si>
    <t xml:space="preserve">Employees</t>
  </si>
  <si>
    <t xml:space="preserve">Working alone (own account)</t>
  </si>
  <si>
    <t xml:space="preserve">Employing others (employers)</t>
  </si>
  <si>
    <t xml:space="preserve">Total (employment stated)</t>
  </si>
  <si>
    <t xml:space="preserve">Share working alone</t>
  </si>
  <si>
    <t xml:space="preserve">2001</t>
  </si>
  <si>
    <t xml:space="preserve">Australian Capital Territory</t>
  </si>
  <si>
    <t xml:space="preserve">ACT</t>
  </si>
  <si>
    <t xml:space="preserve">New South Wales</t>
  </si>
  <si>
    <t xml:space="preserve">NSW</t>
  </si>
  <si>
    <t xml:space="preserve">Northern Territory</t>
  </si>
  <si>
    <t xml:space="preserve">NT</t>
  </si>
  <si>
    <t xml:space="preserve">Queensland</t>
  </si>
  <si>
    <t xml:space="preserve">QLD</t>
  </si>
  <si>
    <t xml:space="preserve">South Australia</t>
  </si>
  <si>
    <t xml:space="preserve">SA</t>
  </si>
  <si>
    <t xml:space="preserve">Tasmania</t>
  </si>
  <si>
    <t xml:space="preserve">TAS</t>
  </si>
  <si>
    <t xml:space="preserve">Victoria</t>
  </si>
  <si>
    <t xml:space="preserve">VIC</t>
  </si>
  <si>
    <t xml:space="preserve">Western Australia</t>
  </si>
  <si>
    <t xml:space="preserve">WA</t>
  </si>
  <si>
    <t xml:space="preserve">Australia (sum of states)</t>
  </si>
  <si>
    <t xml:space="preserve">Source: Association of Consulting Architects (ACA), Architects in Australia state and territory reports (Gill Matthewson), Table 3: Architects by employment situation, from the ABS Census 2001, 2006 and 2011. https://aca.org.au/architects-in-australia/</t>
  </si>
  <si>
    <t xml:space="preserve">"Working alone" = own account worker (runs a business with no employees). "Employing others" = employer.</t>
  </si>
  <si>
    <t xml:space="preserve">The 2011 Census introduced new owner-manager categories, which the ACA says affects Table 3, so compare years with care.</t>
  </si>
  <si>
    <t xml:space="preserve">State rows add to within a few of the national figures in the reports (e.g. 2001 own account: 2,767 vs 2,768) because the ABS randomly adjusts small cells.</t>
  </si>
  <si>
    <t xml:space="preserve">Design businesses by state and territory, June 2001, 2007 and 2012</t>
  </si>
  <si>
    <t xml:space="preserve">Data behind chart 9 (section II, year slider).</t>
  </si>
  <si>
    <t xml:space="preserve">Year</t>
  </si>
  <si>
    <t xml:space="preserve">Architecture</t>
  </si>
  <si>
    <t xml:space="preserve">Advertising</t>
  </si>
  <si>
    <t xml:space="preserve">Other design</t>
  </si>
  <si>
    <t xml:space="preserve">Total</t>
  </si>
  <si>
    <t xml:space="preserve">Share of state total</t>
  </si>
  <si>
    <t xml:space="preserve">'Other design' means</t>
  </si>
  <si>
    <t xml:space="preserve">Commercial art and display services</t>
  </si>
  <si>
    <t xml:space="preserve">All states</t>
  </si>
  <si>
    <t xml:space="preserve">NSW + VIC share</t>
  </si>
  <si>
    <t xml:space="preserve">2007</t>
  </si>
  <si>
    <t xml:space="preserve">2012</t>
  </si>
  <si>
    <t xml:space="preserve">Other specialised design services</t>
  </si>
  <si>
    <t xml:space="preserve">2001: ABS Australian Business Register Counts, June 2001, Table 15.1 in ABS 4172.0 Arts and Culture in Australia. https://www.abs.gov.au/AUSSTATS/abs@.nsf/Previousproducts/4737207436C423D7CA2571E000067234</t>
  </si>
  <si>
    <t xml:space="preserve">2007: ABS Counts of Australian Businesses, June 2007, Table 15.1 in ABS 4172.0 (2009). https://www.abs.gov.au/ausstats/abs@.nsf/Products/6E0D4EC6D348FFC8CA2574E9001329F7</t>
  </si>
  <si>
    <t xml:space="preserve">2012: ABS Counts of Australian Businesses, June 2012, in ABS 4172.0 (2014). https://www.abs.gov.au/ausstats/abs@.nsf/Lookup/4172.0main+features232014</t>
  </si>
  <si>
    <t xml:space="preserve">Only businesses operating in one state or territory are counted by state, so state rows do not add to the published Australia totals in 2001 and 2012 (2007 states add exactly).</t>
  </si>
  <si>
    <t xml:space="preserve">2001 uses an older counting basis (ABR counts) than 2007 and 2012, so compare patterns, not exact numbers.</t>
  </si>
  <si>
    <t xml:space="preserve">The third industry is commercial art and display services in 2001 and 2007 and other specialised design services in 2012; these are different industries.</t>
  </si>
  <si>
    <t xml:space="preserve">The 2012 other specialised design state figures on the ABS page add to 14,339.</t>
  </si>
  <si>
    <t xml:space="preserve">Design occupations: latest employment, women, pay (Jobs and Skills Australia)</t>
  </si>
  <si>
    <t xml:space="preserve">Data behind chart 20 (section VIII).</t>
  </si>
  <si>
    <t xml:space="preserve">Occupation group</t>
  </si>
  <si>
    <t xml:space="preserve">ANZSCO</t>
  </si>
  <si>
    <t xml:space="preserve">Employed</t>
  </si>
  <si>
    <t xml:space="preserve">Share of total</t>
  </si>
  <si>
    <t xml:space="preserve">Women</t>
  </si>
  <si>
    <t xml:space="preserve">Full-time</t>
  </si>
  <si>
    <t xml:space="preserve">Median age</t>
  </si>
  <si>
    <t xml:space="preserve">Median full-time weekly pay ($)</t>
  </si>
  <si>
    <t xml:space="preserve">Change over past year</t>
  </si>
  <si>
    <t xml:space="preserve">Largest state</t>
  </si>
  <si>
    <t xml:space="preserve">Share in largest state</t>
  </si>
  <si>
    <t xml:space="preserve">Release</t>
  </si>
  <si>
    <t xml:space="preserve">Graphic &amp; web designers and illustrators</t>
  </si>
  <si>
    <t xml:space="preserve">2324</t>
  </si>
  <si>
    <t xml:space="preserve">JSA occupation profiles Aug 2025</t>
  </si>
  <si>
    <t xml:space="preserve">Architects and landscape architects</t>
  </si>
  <si>
    <t xml:space="preserve">2321</t>
  </si>
  <si>
    <t xml:space="preserve">JSA occupation profiles Feb 2026</t>
  </si>
  <si>
    <t xml:space="preserve">Interior designers</t>
  </si>
  <si>
    <t xml:space="preserve">2325</t>
  </si>
  <si>
    <t xml:space="preserve">Fashion, industrial and jewellery designers</t>
  </si>
  <si>
    <t xml:space="preserve">2323</t>
  </si>
  <si>
    <t xml:space="preserve">not published</t>
  </si>
  <si>
    <t xml:space="preserve">Total (four groups)</t>
  </si>
  <si>
    <t xml:space="preserve">Source: Jobs and Skills Australia, Occupation profiles. 2321, 2323, 2325: February 2026 release; 2324: August 2025 release. https://www.jobsandskills.gov.au/data/labour-market-insights/occupations/2321-architects-and-landscape-architects</t>
  </si>
  <si>
    <t xml:space="preserve">Employment, women, full-time and age: ABS Labour Force Survey (four-quarter averages). Pay: ABS Survey of Employee Earnings and Hours. All figures rounded by JSA.</t>
  </si>
  <si>
    <t xml:space="preserve">Fashion, industrial and jewellery designer pay is not published because of a high standard error.</t>
  </si>
</sst>
</file>

<file path=xl/styles.xml><?xml version="1.0" encoding="utf-8"?>
<styleSheet xmlns="http://schemas.openxmlformats.org/spreadsheetml/2006/main">
  <numFmts count="8">
    <numFmt numFmtId="164" formatCode="General"/>
    <numFmt numFmtId="165" formatCode="#,##0"/>
    <numFmt numFmtId="166" formatCode="0.0%"/>
    <numFmt numFmtId="167" formatCode="0%"/>
    <numFmt numFmtId="168" formatCode="0"/>
    <numFmt numFmtId="169" formatCode="\$#,##0"/>
    <numFmt numFmtId="170" formatCode="\+#,##0;\-#,##0;0"/>
    <numFmt numFmtId="171" formatCode="\+#,##0"/>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name val="Arial"/>
      <family val="0"/>
      <charset val="1"/>
    </font>
    <font>
      <b val="true"/>
      <sz val="11"/>
      <color rgb="FFFFFFFF"/>
      <name val="Arial"/>
      <family val="0"/>
      <charset val="1"/>
    </font>
    <font>
      <sz val="11"/>
      <name val="Arial"/>
      <family val="0"/>
      <charset val="1"/>
    </font>
    <font>
      <sz val="11"/>
      <color rgb="FF0000FF"/>
      <name val="Arial"/>
      <family val="0"/>
      <charset val="1"/>
    </font>
    <font>
      <b val="true"/>
      <sz val="11"/>
      <name val="Arial"/>
      <family val="0"/>
      <charset val="1"/>
    </font>
    <font>
      <b val="true"/>
      <sz val="10"/>
      <name val="Arial"/>
      <family val="0"/>
      <charset val="1"/>
    </font>
    <font>
      <sz val="10"/>
      <name val="Arial"/>
      <family val="0"/>
      <charset val="1"/>
    </font>
  </fonts>
  <fills count="3">
    <fill>
      <patternFill patternType="none"/>
    </fill>
    <fill>
      <patternFill patternType="gray125"/>
    </fill>
    <fill>
      <patternFill patternType="solid">
        <fgColor rgb="FF16294A"/>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629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4" min="3" style="1" width="22"/>
    <col collapsed="false" customWidth="true" hidden="false" outlineLevel="0" max="5" min="5" style="1" width="24"/>
  </cols>
  <sheetData>
    <row r="1" customFormat="false" ht="15.75" hidden="false" customHeight="true" outlineLevel="0" collapsed="false">
      <c r="A1" s="2" t="s">
        <v>0</v>
      </c>
    </row>
    <row r="2" customFormat="false" ht="15" hidden="false" customHeight="true" outlineLevel="0" collapsed="false">
      <c r="A2" s="3" t="s">
        <v>1</v>
      </c>
    </row>
    <row r="4" customFormat="false" ht="31.5" hidden="false" customHeight="true" outlineLevel="0" collapsed="false">
      <c r="A4" s="4" t="s">
        <v>2</v>
      </c>
      <c r="B4" s="4" t="s">
        <v>3</v>
      </c>
      <c r="C4" s="4" t="s">
        <v>4</v>
      </c>
      <c r="D4" s="4" t="s">
        <v>5</v>
      </c>
      <c r="E4" s="4" t="s">
        <v>6</v>
      </c>
    </row>
    <row r="5" customFormat="false" ht="15" hidden="false" customHeight="true" outlineLevel="0" collapsed="false">
      <c r="A5" s="5" t="s">
        <v>7</v>
      </c>
      <c r="B5" s="6" t="n">
        <v>55840</v>
      </c>
    </row>
    <row r="6" customFormat="false" ht="15" hidden="false" customHeight="true" outlineLevel="0" collapsed="false">
      <c r="A6" s="5" t="s">
        <v>8</v>
      </c>
      <c r="B6" s="6" t="n">
        <v>65590</v>
      </c>
      <c r="C6" s="7" t="n">
        <f aca="false">B6-B5</f>
        <v>9750</v>
      </c>
      <c r="D6" s="8" t="n">
        <f aca="false">B6/B5-1</f>
        <v>0.174606017191977</v>
      </c>
      <c r="E6" s="7" t="n">
        <f aca="false">C6/5</f>
        <v>1950</v>
      </c>
    </row>
    <row r="7" customFormat="false" ht="15" hidden="false" customHeight="true" outlineLevel="0" collapsed="false">
      <c r="A7" s="5" t="s">
        <v>9</v>
      </c>
      <c r="B7" s="6" t="n">
        <v>76940</v>
      </c>
      <c r="C7" s="7" t="n">
        <f aca="false">B7-B6</f>
        <v>11350</v>
      </c>
      <c r="D7" s="8" t="n">
        <f aca="false">B7/B6-1</f>
        <v>0.173044671443818</v>
      </c>
      <c r="E7" s="7" t="n">
        <f aca="false">C7/5</f>
        <v>2270</v>
      </c>
    </row>
    <row r="9" customFormat="false" ht="15" hidden="false" customHeight="true" outlineLevel="0" collapsed="false">
      <c r="A9" s="9" t="s">
        <v>10</v>
      </c>
      <c r="B9" s="7" t="n">
        <f aca="false">B7-B5</f>
        <v>21100</v>
      </c>
      <c r="C9" s="1" t="s">
        <v>11</v>
      </c>
    </row>
    <row r="10" customFormat="false" ht="15" hidden="false" customHeight="true" outlineLevel="0" collapsed="false">
      <c r="A10" s="5" t="s">
        <v>12</v>
      </c>
      <c r="B10" s="8" t="n">
        <f aca="false">B7/B5-1</f>
        <v>0.377865329512894</v>
      </c>
    </row>
    <row r="11" customFormat="false" ht="15" hidden="false" customHeight="true" outlineLevel="0" collapsed="false">
      <c r="A11" s="5" t="s">
        <v>13</v>
      </c>
      <c r="B11" s="8" t="n">
        <f aca="false">(B7/B5)^(1/10)-1</f>
        <v>0.0325727917858647</v>
      </c>
    </row>
    <row r="12" customFormat="false" ht="15" hidden="false" customHeight="true" outlineLevel="0" collapsed="false">
      <c r="A12" s="5" t="s">
        <v>14</v>
      </c>
      <c r="B12" s="7" t="n">
        <f aca="false">(B7-B5)/10</f>
        <v>2110</v>
      </c>
    </row>
    <row r="14" customFormat="false" ht="15" hidden="false" customHeight="true" outlineLevel="0" collapsed="false">
      <c r="A14" s="10" t="s">
        <v>15</v>
      </c>
    </row>
    <row r="15" customFormat="false" ht="15" hidden="false" customHeight="true" outlineLevel="0" collapsed="false">
      <c r="A15" s="11" t="s">
        <v>16</v>
      </c>
    </row>
    <row r="16" customFormat="false" ht="15" hidden="false" customHeight="true" outlineLevel="0" collapsed="false">
      <c r="A16" s="11" t="s">
        <v>17</v>
      </c>
    </row>
    <row r="17" customFormat="false" ht="15" hidden="false" customHeight="true" outlineLevel="0" collapsed="false">
      <c r="A17" s="11" t="s">
        <v>18</v>
      </c>
    </row>
    <row r="18" customFormat="false" ht="15" hidden="false" customHeight="true" outlineLevel="0" collapsed="false">
      <c r="A18" s="11" t="s">
        <v>19</v>
      </c>
    </row>
    <row r="19" customFormat="false" ht="15" hidden="false" customHeight="true" outlineLevel="0" collapsed="false">
      <c r="A19" s="11"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8"/>
    <col collapsed="false" customWidth="true" hidden="false" outlineLevel="0" max="3" min="3" style="1" width="7"/>
    <col collapsed="false" customWidth="true" hidden="false" outlineLevel="0" max="4" min="4" style="1" width="12"/>
    <col collapsed="false" customWidth="true" hidden="false" outlineLevel="0" max="7" min="5" style="1" width="16"/>
    <col collapsed="false" customWidth="true" hidden="false" outlineLevel="0" max="8" min="8" style="1" width="14"/>
  </cols>
  <sheetData>
    <row r="1" customFormat="false" ht="15.75" hidden="false" customHeight="true" outlineLevel="0" collapsed="false">
      <c r="A1" s="2" t="s">
        <v>21</v>
      </c>
    </row>
    <row r="2" customFormat="false" ht="15" hidden="false" customHeight="true" outlineLevel="0" collapsed="false">
      <c r="A2" s="3" t="s">
        <v>22</v>
      </c>
    </row>
    <row r="4" customFormat="false" ht="31.5" hidden="false" customHeight="true" outlineLevel="0" collapsed="false">
      <c r="A4" s="4" t="s">
        <v>2</v>
      </c>
      <c r="B4" s="4" t="s">
        <v>23</v>
      </c>
      <c r="C4" s="4" t="s">
        <v>24</v>
      </c>
      <c r="D4" s="4" t="s">
        <v>25</v>
      </c>
      <c r="E4" s="4" t="s">
        <v>26</v>
      </c>
      <c r="F4" s="4" t="s">
        <v>27</v>
      </c>
      <c r="G4" s="4" t="s">
        <v>28</v>
      </c>
      <c r="H4" s="4" t="s">
        <v>29</v>
      </c>
    </row>
    <row r="5" customFormat="false" ht="15" hidden="false" customHeight="true" outlineLevel="0" collapsed="false">
      <c r="A5" s="5" t="s">
        <v>30</v>
      </c>
      <c r="B5" s="5" t="s">
        <v>31</v>
      </c>
      <c r="C5" s="5" t="s">
        <v>32</v>
      </c>
      <c r="D5" s="6" t="n">
        <v>143</v>
      </c>
      <c r="E5" s="6" t="n">
        <v>57</v>
      </c>
      <c r="F5" s="6" t="n">
        <v>40</v>
      </c>
      <c r="G5" s="7" t="n">
        <f aca="false">SUM(D5:F5)</f>
        <v>240</v>
      </c>
      <c r="H5" s="8" t="n">
        <f aca="false">E5/G5</f>
        <v>0.2375</v>
      </c>
    </row>
    <row r="6" customFormat="false" ht="15" hidden="false" customHeight="true" outlineLevel="0" collapsed="false">
      <c r="A6" s="5" t="s">
        <v>30</v>
      </c>
      <c r="B6" s="5" t="s">
        <v>33</v>
      </c>
      <c r="C6" s="5" t="s">
        <v>34</v>
      </c>
      <c r="D6" s="6" t="n">
        <v>2618</v>
      </c>
      <c r="E6" s="6" t="n">
        <v>1071</v>
      </c>
      <c r="F6" s="6" t="n">
        <v>777</v>
      </c>
      <c r="G6" s="7" t="n">
        <f aca="false">SUM(D6:F6)</f>
        <v>4466</v>
      </c>
      <c r="H6" s="8" t="n">
        <f aca="false">E6/G6</f>
        <v>0.239811912225705</v>
      </c>
    </row>
    <row r="7" customFormat="false" ht="15" hidden="false" customHeight="true" outlineLevel="0" collapsed="false">
      <c r="A7" s="5" t="s">
        <v>30</v>
      </c>
      <c r="B7" s="5" t="s">
        <v>35</v>
      </c>
      <c r="C7" s="5" t="s">
        <v>36</v>
      </c>
      <c r="D7" s="6" t="n">
        <v>38</v>
      </c>
      <c r="E7" s="6" t="n">
        <v>11</v>
      </c>
      <c r="F7" s="6" t="n">
        <v>12</v>
      </c>
      <c r="G7" s="7" t="n">
        <f aca="false">SUM(D7:F7)</f>
        <v>61</v>
      </c>
      <c r="H7" s="8" t="n">
        <f aca="false">E7/G7</f>
        <v>0.180327868852459</v>
      </c>
    </row>
    <row r="8" customFormat="false" ht="15" hidden="false" customHeight="true" outlineLevel="0" collapsed="false">
      <c r="A8" s="5" t="s">
        <v>30</v>
      </c>
      <c r="B8" s="5" t="s">
        <v>37</v>
      </c>
      <c r="C8" s="5" t="s">
        <v>38</v>
      </c>
      <c r="D8" s="6" t="n">
        <v>1003</v>
      </c>
      <c r="E8" s="6" t="n">
        <v>383</v>
      </c>
      <c r="F8" s="6" t="n">
        <v>311</v>
      </c>
      <c r="G8" s="7" t="n">
        <f aca="false">SUM(D8:F8)</f>
        <v>1697</v>
      </c>
      <c r="H8" s="8" t="n">
        <f aca="false">E8/G8</f>
        <v>0.225692398350029</v>
      </c>
    </row>
    <row r="9" customFormat="false" ht="15" hidden="false" customHeight="true" outlineLevel="0" collapsed="false">
      <c r="A9" s="5" t="s">
        <v>30</v>
      </c>
      <c r="B9" s="5" t="s">
        <v>39</v>
      </c>
      <c r="C9" s="5" t="s">
        <v>40</v>
      </c>
      <c r="D9" s="6" t="n">
        <v>357</v>
      </c>
      <c r="E9" s="6" t="n">
        <v>171</v>
      </c>
      <c r="F9" s="6" t="n">
        <v>100</v>
      </c>
      <c r="G9" s="7" t="n">
        <f aca="false">SUM(D9:F9)</f>
        <v>628</v>
      </c>
      <c r="H9" s="8" t="n">
        <f aca="false">E9/G9</f>
        <v>0.272292993630573</v>
      </c>
    </row>
    <row r="10" customFormat="false" ht="15" hidden="false" customHeight="true" outlineLevel="0" collapsed="false">
      <c r="A10" s="5" t="s">
        <v>30</v>
      </c>
      <c r="B10" s="5" t="s">
        <v>41</v>
      </c>
      <c r="C10" s="5" t="s">
        <v>42</v>
      </c>
      <c r="D10" s="6" t="n">
        <v>42</v>
      </c>
      <c r="E10" s="6" t="n">
        <v>60</v>
      </c>
      <c r="F10" s="6" t="n">
        <v>35</v>
      </c>
      <c r="G10" s="7" t="n">
        <f aca="false">SUM(D10:F10)</f>
        <v>137</v>
      </c>
      <c r="H10" s="8" t="n">
        <f aca="false">E10/G10</f>
        <v>0.437956204379562</v>
      </c>
    </row>
    <row r="11" customFormat="false" ht="15" hidden="false" customHeight="true" outlineLevel="0" collapsed="false">
      <c r="A11" s="5" t="s">
        <v>30</v>
      </c>
      <c r="B11" s="5" t="s">
        <v>43</v>
      </c>
      <c r="C11" s="5" t="s">
        <v>44</v>
      </c>
      <c r="D11" s="6" t="n">
        <v>1754</v>
      </c>
      <c r="E11" s="6" t="n">
        <v>769</v>
      </c>
      <c r="F11" s="6" t="n">
        <v>607</v>
      </c>
      <c r="G11" s="7" t="n">
        <f aca="false">SUM(D11:F11)</f>
        <v>3130</v>
      </c>
      <c r="H11" s="8" t="n">
        <f aca="false">E11/G11</f>
        <v>0.245686900958466</v>
      </c>
    </row>
    <row r="12" customFormat="false" ht="15" hidden="false" customHeight="true" outlineLevel="0" collapsed="false">
      <c r="A12" s="5" t="s">
        <v>30</v>
      </c>
      <c r="B12" s="5" t="s">
        <v>45</v>
      </c>
      <c r="C12" s="5" t="s">
        <v>46</v>
      </c>
      <c r="D12" s="6" t="n">
        <v>496</v>
      </c>
      <c r="E12" s="6" t="n">
        <v>245</v>
      </c>
      <c r="F12" s="6" t="n">
        <v>199</v>
      </c>
      <c r="G12" s="7" t="n">
        <f aca="false">SUM(D12:F12)</f>
        <v>940</v>
      </c>
      <c r="H12" s="8" t="n">
        <f aca="false">E12/G12</f>
        <v>0.26063829787234</v>
      </c>
    </row>
    <row r="13" customFormat="false" ht="15" hidden="false" customHeight="true" outlineLevel="0" collapsed="false">
      <c r="A13" s="9" t="s">
        <v>30</v>
      </c>
      <c r="B13" s="9" t="s">
        <v>47</v>
      </c>
      <c r="D13" s="12" t="n">
        <f aca="false">SUM(D5:D12)</f>
        <v>6451</v>
      </c>
      <c r="E13" s="12" t="n">
        <f aca="false">SUM(E5:E12)</f>
        <v>2767</v>
      </c>
      <c r="F13" s="12" t="n">
        <f aca="false">SUM(F5:F12)</f>
        <v>2081</v>
      </c>
      <c r="G13" s="12" t="n">
        <f aca="false">SUM(G5:G12)</f>
        <v>11299</v>
      </c>
      <c r="H13" s="13" t="n">
        <f aca="false">E13/G13</f>
        <v>0.244888928223737</v>
      </c>
    </row>
    <row r="15" customFormat="false" ht="15" hidden="false" customHeight="true" outlineLevel="0" collapsed="false">
      <c r="A15" s="5" t="s">
        <v>7</v>
      </c>
      <c r="B15" s="5" t="s">
        <v>31</v>
      </c>
      <c r="C15" s="5" t="s">
        <v>32</v>
      </c>
      <c r="D15" s="6" t="n">
        <v>198</v>
      </c>
      <c r="E15" s="6" t="n">
        <v>34</v>
      </c>
      <c r="F15" s="6" t="n">
        <v>65</v>
      </c>
      <c r="G15" s="7" t="n">
        <f aca="false">SUM(D15:F15)</f>
        <v>297</v>
      </c>
      <c r="H15" s="8" t="n">
        <f aca="false">E15/G15</f>
        <v>0.114478114478114</v>
      </c>
    </row>
    <row r="16" customFormat="false" ht="15" hidden="false" customHeight="true" outlineLevel="0" collapsed="false">
      <c r="A16" s="5" t="s">
        <v>7</v>
      </c>
      <c r="B16" s="5" t="s">
        <v>33</v>
      </c>
      <c r="C16" s="5" t="s">
        <v>34</v>
      </c>
      <c r="D16" s="6" t="n">
        <v>2890</v>
      </c>
      <c r="E16" s="6" t="n">
        <v>596</v>
      </c>
      <c r="F16" s="6" t="n">
        <v>1431</v>
      </c>
      <c r="G16" s="7" t="n">
        <f aca="false">SUM(D16:F16)</f>
        <v>4917</v>
      </c>
      <c r="H16" s="8" t="n">
        <f aca="false">E16/G16</f>
        <v>0.121212121212121</v>
      </c>
    </row>
    <row r="17" customFormat="false" ht="15" hidden="false" customHeight="true" outlineLevel="0" collapsed="false">
      <c r="A17" s="5" t="s">
        <v>7</v>
      </c>
      <c r="B17" s="5" t="s">
        <v>35</v>
      </c>
      <c r="C17" s="5" t="s">
        <v>36</v>
      </c>
      <c r="D17" s="6" t="n">
        <v>30</v>
      </c>
      <c r="E17" s="6" t="n">
        <v>11</v>
      </c>
      <c r="F17" s="6" t="n">
        <v>17</v>
      </c>
      <c r="G17" s="7" t="n">
        <f aca="false">SUM(D17:F17)</f>
        <v>58</v>
      </c>
      <c r="H17" s="8" t="n">
        <f aca="false">E17/G17</f>
        <v>0.189655172413793</v>
      </c>
    </row>
    <row r="18" customFormat="false" ht="15" hidden="false" customHeight="true" outlineLevel="0" collapsed="false">
      <c r="A18" s="5" t="s">
        <v>7</v>
      </c>
      <c r="B18" s="5" t="s">
        <v>37</v>
      </c>
      <c r="C18" s="5" t="s">
        <v>38</v>
      </c>
      <c r="D18" s="6" t="n">
        <v>1360</v>
      </c>
      <c r="E18" s="6" t="n">
        <v>216</v>
      </c>
      <c r="F18" s="6" t="n">
        <v>569</v>
      </c>
      <c r="G18" s="7" t="n">
        <f aca="false">SUM(D18:F18)</f>
        <v>2145</v>
      </c>
      <c r="H18" s="8" t="n">
        <f aca="false">E18/G18</f>
        <v>0.100699300699301</v>
      </c>
    </row>
    <row r="19" customFormat="false" ht="15" hidden="false" customHeight="true" outlineLevel="0" collapsed="false">
      <c r="A19" s="5" t="s">
        <v>7</v>
      </c>
      <c r="B19" s="5" t="s">
        <v>39</v>
      </c>
      <c r="C19" s="5" t="s">
        <v>40</v>
      </c>
      <c r="D19" s="6" t="n">
        <v>399</v>
      </c>
      <c r="E19" s="6" t="n">
        <v>120</v>
      </c>
      <c r="F19" s="6" t="n">
        <v>170</v>
      </c>
      <c r="G19" s="7" t="n">
        <f aca="false">SUM(D19:F19)</f>
        <v>689</v>
      </c>
      <c r="H19" s="8" t="n">
        <f aca="false">E19/G19</f>
        <v>0.174165457184325</v>
      </c>
    </row>
    <row r="20" customFormat="false" ht="15" hidden="false" customHeight="true" outlineLevel="0" collapsed="false">
      <c r="A20" s="5" t="s">
        <v>7</v>
      </c>
      <c r="B20" s="5" t="s">
        <v>41</v>
      </c>
      <c r="C20" s="5" t="s">
        <v>42</v>
      </c>
      <c r="D20" s="6" t="n">
        <v>96</v>
      </c>
      <c r="E20" s="6" t="n">
        <v>39</v>
      </c>
      <c r="F20" s="6" t="n">
        <v>76</v>
      </c>
      <c r="G20" s="7" t="n">
        <f aca="false">SUM(D20:F20)</f>
        <v>211</v>
      </c>
      <c r="H20" s="8" t="n">
        <f aca="false">E20/G20</f>
        <v>0.184834123222749</v>
      </c>
    </row>
    <row r="21" customFormat="false" ht="15" hidden="false" customHeight="true" outlineLevel="0" collapsed="false">
      <c r="A21" s="5" t="s">
        <v>7</v>
      </c>
      <c r="B21" s="5" t="s">
        <v>43</v>
      </c>
      <c r="C21" s="5" t="s">
        <v>44</v>
      </c>
      <c r="D21" s="6" t="n">
        <v>2151</v>
      </c>
      <c r="E21" s="6" t="n">
        <v>454</v>
      </c>
      <c r="F21" s="6" t="n">
        <v>1079</v>
      </c>
      <c r="G21" s="7" t="n">
        <f aca="false">SUM(D21:F21)</f>
        <v>3684</v>
      </c>
      <c r="H21" s="8" t="n">
        <f aca="false">E21/G21</f>
        <v>0.123235613463626</v>
      </c>
    </row>
    <row r="22" customFormat="false" ht="15" hidden="false" customHeight="true" outlineLevel="0" collapsed="false">
      <c r="A22" s="5" t="s">
        <v>7</v>
      </c>
      <c r="B22" s="5" t="s">
        <v>45</v>
      </c>
      <c r="C22" s="5" t="s">
        <v>46</v>
      </c>
      <c r="D22" s="6" t="n">
        <v>657</v>
      </c>
      <c r="E22" s="6" t="n">
        <v>168</v>
      </c>
      <c r="F22" s="6" t="n">
        <v>294</v>
      </c>
      <c r="G22" s="7" t="n">
        <f aca="false">SUM(D22:F22)</f>
        <v>1119</v>
      </c>
      <c r="H22" s="8" t="n">
        <f aca="false">E22/G22</f>
        <v>0.150134048257373</v>
      </c>
    </row>
    <row r="23" customFormat="false" ht="15" hidden="false" customHeight="true" outlineLevel="0" collapsed="false">
      <c r="A23" s="9" t="s">
        <v>7</v>
      </c>
      <c r="B23" s="9" t="s">
        <v>47</v>
      </c>
      <c r="D23" s="12" t="n">
        <f aca="false">SUM(D15:D22)</f>
        <v>7781</v>
      </c>
      <c r="E23" s="12" t="n">
        <f aca="false">SUM(E15:E22)</f>
        <v>1638</v>
      </c>
      <c r="F23" s="12" t="n">
        <f aca="false">SUM(F15:F22)</f>
        <v>3701</v>
      </c>
      <c r="G23" s="12" t="n">
        <f aca="false">SUM(G15:G22)</f>
        <v>13120</v>
      </c>
      <c r="H23" s="13" t="n">
        <f aca="false">E23/G23</f>
        <v>0.12484756097561</v>
      </c>
    </row>
    <row r="25" customFormat="false" ht="15" hidden="false" customHeight="true" outlineLevel="0" collapsed="false">
      <c r="A25" s="5" t="s">
        <v>8</v>
      </c>
      <c r="B25" s="5" t="s">
        <v>31</v>
      </c>
      <c r="C25" s="5" t="s">
        <v>32</v>
      </c>
      <c r="D25" s="6" t="n">
        <v>213</v>
      </c>
      <c r="E25" s="6" t="n">
        <v>29</v>
      </c>
      <c r="F25" s="6" t="n">
        <v>68</v>
      </c>
      <c r="G25" s="7" t="n">
        <f aca="false">SUM(D25:F25)</f>
        <v>310</v>
      </c>
      <c r="H25" s="8" t="n">
        <f aca="false">E25/G25</f>
        <v>0.0935483870967742</v>
      </c>
    </row>
    <row r="26" customFormat="false" ht="15" hidden="false" customHeight="true" outlineLevel="0" collapsed="false">
      <c r="A26" s="5" t="s">
        <v>8</v>
      </c>
      <c r="B26" s="5" t="s">
        <v>33</v>
      </c>
      <c r="C26" s="5" t="s">
        <v>34</v>
      </c>
      <c r="D26" s="6" t="n">
        <v>3107</v>
      </c>
      <c r="E26" s="6" t="n">
        <v>757</v>
      </c>
      <c r="F26" s="6" t="n">
        <v>1255</v>
      </c>
      <c r="G26" s="7" t="n">
        <f aca="false">SUM(D26:F26)</f>
        <v>5119</v>
      </c>
      <c r="H26" s="8" t="n">
        <f aca="false">E26/G26</f>
        <v>0.147880445399492</v>
      </c>
    </row>
    <row r="27" customFormat="false" ht="15" hidden="false" customHeight="true" outlineLevel="0" collapsed="false">
      <c r="A27" s="5" t="s">
        <v>8</v>
      </c>
      <c r="B27" s="5" t="s">
        <v>35</v>
      </c>
      <c r="C27" s="5" t="s">
        <v>36</v>
      </c>
      <c r="D27" s="6" t="n">
        <v>53</v>
      </c>
      <c r="E27" s="6" t="n">
        <v>7</v>
      </c>
      <c r="F27" s="6" t="n">
        <v>18</v>
      </c>
      <c r="G27" s="7" t="n">
        <f aca="false">SUM(D27:F27)</f>
        <v>78</v>
      </c>
      <c r="H27" s="8" t="n">
        <f aca="false">E27/G27</f>
        <v>0.0897435897435897</v>
      </c>
    </row>
    <row r="28" customFormat="false" ht="15" hidden="false" customHeight="true" outlineLevel="0" collapsed="false">
      <c r="A28" s="5" t="s">
        <v>8</v>
      </c>
      <c r="B28" s="5" t="s">
        <v>37</v>
      </c>
      <c r="C28" s="5" t="s">
        <v>38</v>
      </c>
      <c r="D28" s="6" t="n">
        <v>1499</v>
      </c>
      <c r="E28" s="6" t="n">
        <v>260</v>
      </c>
      <c r="F28" s="6" t="n">
        <v>515</v>
      </c>
      <c r="G28" s="7" t="n">
        <f aca="false">SUM(D28:F28)</f>
        <v>2274</v>
      </c>
      <c r="H28" s="8" t="n">
        <f aca="false">E28/G28</f>
        <v>0.114335971855761</v>
      </c>
    </row>
    <row r="29" customFormat="false" ht="15" hidden="false" customHeight="true" outlineLevel="0" collapsed="false">
      <c r="A29" s="5" t="s">
        <v>8</v>
      </c>
      <c r="B29" s="5" t="s">
        <v>39</v>
      </c>
      <c r="C29" s="5" t="s">
        <v>40</v>
      </c>
      <c r="D29" s="6" t="n">
        <v>497</v>
      </c>
      <c r="E29" s="6" t="n">
        <v>145</v>
      </c>
      <c r="F29" s="6" t="n">
        <v>142</v>
      </c>
      <c r="G29" s="7" t="n">
        <f aca="false">SUM(D29:F29)</f>
        <v>784</v>
      </c>
      <c r="H29" s="8" t="n">
        <f aca="false">E29/G29</f>
        <v>0.184948979591837</v>
      </c>
    </row>
    <row r="30" customFormat="false" ht="15" hidden="false" customHeight="true" outlineLevel="0" collapsed="false">
      <c r="A30" s="5" t="s">
        <v>8</v>
      </c>
      <c r="B30" s="5" t="s">
        <v>41</v>
      </c>
      <c r="C30" s="5" t="s">
        <v>42</v>
      </c>
      <c r="D30" s="6" t="n">
        <v>118</v>
      </c>
      <c r="E30" s="6" t="n">
        <v>69</v>
      </c>
      <c r="F30" s="6" t="n">
        <v>63</v>
      </c>
      <c r="G30" s="7" t="n">
        <f aca="false">SUM(D30:F30)</f>
        <v>250</v>
      </c>
      <c r="H30" s="8" t="n">
        <f aca="false">E30/G30</f>
        <v>0.276</v>
      </c>
    </row>
    <row r="31" customFormat="false" ht="15" hidden="false" customHeight="true" outlineLevel="0" collapsed="false">
      <c r="A31" s="5" t="s">
        <v>8</v>
      </c>
      <c r="B31" s="5" t="s">
        <v>43</v>
      </c>
      <c r="C31" s="5" t="s">
        <v>44</v>
      </c>
      <c r="D31" s="6" t="n">
        <v>2960</v>
      </c>
      <c r="E31" s="6" t="n">
        <v>631</v>
      </c>
      <c r="F31" s="6" t="n">
        <v>1037</v>
      </c>
      <c r="G31" s="7" t="n">
        <f aca="false">SUM(D31:F31)</f>
        <v>4628</v>
      </c>
      <c r="H31" s="8" t="n">
        <f aca="false">E31/G31</f>
        <v>0.136343993085566</v>
      </c>
    </row>
    <row r="32" customFormat="false" ht="15" hidden="false" customHeight="true" outlineLevel="0" collapsed="false">
      <c r="A32" s="5" t="s">
        <v>8</v>
      </c>
      <c r="B32" s="5" t="s">
        <v>45</v>
      </c>
      <c r="C32" s="5" t="s">
        <v>46</v>
      </c>
      <c r="D32" s="6" t="n">
        <v>865</v>
      </c>
      <c r="E32" s="6" t="n">
        <v>200</v>
      </c>
      <c r="F32" s="6" t="n">
        <v>287</v>
      </c>
      <c r="G32" s="7" t="n">
        <f aca="false">SUM(D32:F32)</f>
        <v>1352</v>
      </c>
      <c r="H32" s="8" t="n">
        <f aca="false">E32/G32</f>
        <v>0.14792899408284</v>
      </c>
    </row>
    <row r="33" customFormat="false" ht="15" hidden="false" customHeight="true" outlineLevel="0" collapsed="false">
      <c r="A33" s="9" t="s">
        <v>8</v>
      </c>
      <c r="B33" s="9" t="s">
        <v>47</v>
      </c>
      <c r="D33" s="12" t="n">
        <f aca="false">SUM(D25:D32)</f>
        <v>9312</v>
      </c>
      <c r="E33" s="12" t="n">
        <f aca="false">SUM(E25:E32)</f>
        <v>2098</v>
      </c>
      <c r="F33" s="12" t="n">
        <f aca="false">SUM(F25:F32)</f>
        <v>3385</v>
      </c>
      <c r="G33" s="12" t="n">
        <f aca="false">SUM(G25:G32)</f>
        <v>14795</v>
      </c>
      <c r="H33" s="13" t="n">
        <f aca="false">E33/G33</f>
        <v>0.141804663737749</v>
      </c>
    </row>
    <row r="35" customFormat="false" ht="15" hidden="false" customHeight="true" outlineLevel="0" collapsed="false">
      <c r="A35" s="10" t="s">
        <v>15</v>
      </c>
    </row>
    <row r="36" customFormat="false" ht="15" hidden="false" customHeight="true" outlineLevel="0" collapsed="false">
      <c r="A36" s="11" t="s">
        <v>16</v>
      </c>
    </row>
    <row r="37" customFormat="false" ht="15" hidden="false" customHeight="true" outlineLevel="0" collapsed="false">
      <c r="A37" s="11" t="s">
        <v>48</v>
      </c>
    </row>
    <row r="38" customFormat="false" ht="15" hidden="false" customHeight="true" outlineLevel="0" collapsed="false">
      <c r="A38" s="11" t="s">
        <v>49</v>
      </c>
    </row>
    <row r="39" customFormat="false" ht="15" hidden="false" customHeight="true" outlineLevel="0" collapsed="false">
      <c r="A39" s="11" t="s">
        <v>50</v>
      </c>
    </row>
    <row r="40" customFormat="false" ht="15" hidden="false" customHeight="true" outlineLevel="0" collapsed="false">
      <c r="A40" s="11"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8"/>
    <col collapsed="false" customWidth="true" hidden="false" outlineLevel="0" max="5" min="3" style="1" width="13"/>
    <col collapsed="false" customWidth="true" hidden="false" outlineLevel="0" max="6" min="6" style="1" width="12"/>
    <col collapsed="false" customWidth="true" hidden="false" outlineLevel="0" max="7" min="7" style="1" width="14"/>
    <col collapsed="false" customWidth="true" hidden="false" outlineLevel="0" max="8" min="8" style="1" width="36"/>
  </cols>
  <sheetData>
    <row r="1" customFormat="false" ht="15.75" hidden="false" customHeight="true" outlineLevel="0" collapsed="false">
      <c r="A1" s="2" t="s">
        <v>52</v>
      </c>
    </row>
    <row r="2" customFormat="false" ht="15" hidden="false" customHeight="true" outlineLevel="0" collapsed="false">
      <c r="A2" s="3" t="s">
        <v>53</v>
      </c>
    </row>
    <row r="4" customFormat="false" ht="31.5" hidden="false" customHeight="true" outlineLevel="0" collapsed="false">
      <c r="A4" s="4" t="s">
        <v>54</v>
      </c>
      <c r="B4" s="4" t="s">
        <v>23</v>
      </c>
      <c r="C4" s="4" t="s">
        <v>55</v>
      </c>
      <c r="D4" s="4" t="s">
        <v>56</v>
      </c>
      <c r="E4" s="4" t="s">
        <v>57</v>
      </c>
      <c r="F4" s="4" t="s">
        <v>58</v>
      </c>
      <c r="G4" s="4" t="s">
        <v>59</v>
      </c>
      <c r="H4" s="4" t="s">
        <v>60</v>
      </c>
    </row>
    <row r="5" customFormat="false" ht="15" hidden="false" customHeight="true" outlineLevel="0" collapsed="false">
      <c r="A5" s="5" t="s">
        <v>30</v>
      </c>
      <c r="B5" s="5" t="s">
        <v>34</v>
      </c>
      <c r="C5" s="6" t="n">
        <v>5109</v>
      </c>
      <c r="D5" s="6" t="n">
        <v>4338</v>
      </c>
      <c r="E5" s="6" t="n">
        <v>4283</v>
      </c>
      <c r="F5" s="7" t="n">
        <f aca="false">SUM(C5:E5)</f>
        <v>13730</v>
      </c>
      <c r="G5" s="8" t="n">
        <f aca="false">F5/SUM($F$5:$F$12)</f>
        <v>0.371141266151268</v>
      </c>
      <c r="H5" s="5" t="s">
        <v>61</v>
      </c>
    </row>
    <row r="6" customFormat="false" ht="15" hidden="false" customHeight="true" outlineLevel="0" collapsed="false">
      <c r="A6" s="5" t="s">
        <v>30</v>
      </c>
      <c r="B6" s="5" t="s">
        <v>44</v>
      </c>
      <c r="C6" s="6" t="n">
        <v>4020</v>
      </c>
      <c r="D6" s="6" t="n">
        <v>2775</v>
      </c>
      <c r="E6" s="6" t="n">
        <v>3155</v>
      </c>
      <c r="F6" s="7" t="n">
        <f aca="false">SUM(C6:E6)</f>
        <v>9950</v>
      </c>
      <c r="G6" s="8" t="n">
        <f aca="false">F6/SUM($F$5:$F$12)</f>
        <v>0.268962534465048</v>
      </c>
      <c r="H6" s="5" t="s">
        <v>61</v>
      </c>
    </row>
    <row r="7" customFormat="false" ht="15" hidden="false" customHeight="true" outlineLevel="0" collapsed="false">
      <c r="A7" s="5" t="s">
        <v>30</v>
      </c>
      <c r="B7" s="5" t="s">
        <v>38</v>
      </c>
      <c r="C7" s="6" t="n">
        <v>2381</v>
      </c>
      <c r="D7" s="6" t="n">
        <v>2112</v>
      </c>
      <c r="E7" s="6" t="n">
        <v>1710</v>
      </c>
      <c r="F7" s="7" t="n">
        <f aca="false">SUM(C7:E7)</f>
        <v>6203</v>
      </c>
      <c r="G7" s="8" t="n">
        <f aca="false">F7/SUM($F$5:$F$12)</f>
        <v>0.167675839325296</v>
      </c>
      <c r="H7" s="5" t="s">
        <v>61</v>
      </c>
    </row>
    <row r="8" customFormat="false" ht="15" hidden="false" customHeight="true" outlineLevel="0" collapsed="false">
      <c r="A8" s="5" t="s">
        <v>30</v>
      </c>
      <c r="B8" s="5" t="s">
        <v>40</v>
      </c>
      <c r="C8" s="6" t="n">
        <v>730</v>
      </c>
      <c r="D8" s="6" t="n">
        <v>610</v>
      </c>
      <c r="E8" s="6" t="n">
        <v>720</v>
      </c>
      <c r="F8" s="7" t="n">
        <f aca="false">SUM(C8:E8)</f>
        <v>2060</v>
      </c>
      <c r="G8" s="8" t="n">
        <f aca="false">F8/SUM($F$5:$F$12)</f>
        <v>0.0556847056279397</v>
      </c>
      <c r="H8" s="5" t="s">
        <v>61</v>
      </c>
    </row>
    <row r="9" customFormat="false" ht="15" hidden="false" customHeight="true" outlineLevel="0" collapsed="false">
      <c r="A9" s="5" t="s">
        <v>30</v>
      </c>
      <c r="B9" s="5" t="s">
        <v>46</v>
      </c>
      <c r="C9" s="6" t="n">
        <v>1916</v>
      </c>
      <c r="D9" s="6" t="n">
        <v>903</v>
      </c>
      <c r="E9" s="6" t="n">
        <v>905</v>
      </c>
      <c r="F9" s="7" t="n">
        <f aca="false">SUM(C9:E9)</f>
        <v>3724</v>
      </c>
      <c r="G9" s="8" t="n">
        <f aca="false">F9/SUM($F$5:$F$12)</f>
        <v>0.100664972698275</v>
      </c>
      <c r="H9" s="5" t="s">
        <v>61</v>
      </c>
    </row>
    <row r="10" customFormat="false" ht="15" hidden="false" customHeight="true" outlineLevel="0" collapsed="false">
      <c r="A10" s="5" t="s">
        <v>30</v>
      </c>
      <c r="B10" s="5" t="s">
        <v>42</v>
      </c>
      <c r="C10" s="6" t="n">
        <v>218</v>
      </c>
      <c r="D10" s="6" t="n">
        <v>132</v>
      </c>
      <c r="E10" s="6" t="n">
        <v>160</v>
      </c>
      <c r="F10" s="7" t="n">
        <f aca="false">SUM(C10:E10)</f>
        <v>510</v>
      </c>
      <c r="G10" s="8" t="n">
        <f aca="false">F10/SUM($F$5:$F$12)</f>
        <v>0.0137860193544899</v>
      </c>
      <c r="H10" s="5" t="s">
        <v>61</v>
      </c>
    </row>
    <row r="11" customFormat="false" ht="15" hidden="false" customHeight="true" outlineLevel="0" collapsed="false">
      <c r="A11" s="5" t="s">
        <v>30</v>
      </c>
      <c r="B11" s="5" t="s">
        <v>36</v>
      </c>
      <c r="C11" s="6" t="n">
        <v>109</v>
      </c>
      <c r="D11" s="6" t="n">
        <v>54</v>
      </c>
      <c r="E11" s="6" t="n">
        <v>86</v>
      </c>
      <c r="F11" s="7" t="n">
        <f aca="false">SUM(C11:E11)</f>
        <v>249</v>
      </c>
      <c r="G11" s="8" t="n">
        <f aca="false">F11/SUM($F$5:$F$12)</f>
        <v>0.00673082121425096</v>
      </c>
      <c r="H11" s="5" t="s">
        <v>61</v>
      </c>
    </row>
    <row r="12" customFormat="false" ht="15" hidden="false" customHeight="true" outlineLevel="0" collapsed="false">
      <c r="A12" s="5" t="s">
        <v>30</v>
      </c>
      <c r="B12" s="5" t="s">
        <v>32</v>
      </c>
      <c r="C12" s="6" t="n">
        <v>242</v>
      </c>
      <c r="D12" s="6" t="n">
        <v>139</v>
      </c>
      <c r="E12" s="6" t="n">
        <v>187</v>
      </c>
      <c r="F12" s="7" t="n">
        <f aca="false">SUM(C12:E12)</f>
        <v>568</v>
      </c>
      <c r="G12" s="8" t="n">
        <f aca="false">F12/SUM($F$5:$F$12)</f>
        <v>0.0153538411634319</v>
      </c>
      <c r="H12" s="5" t="s">
        <v>61</v>
      </c>
    </row>
    <row r="13" customFormat="false" ht="15" hidden="false" customHeight="true" outlineLevel="0" collapsed="false">
      <c r="A13" s="9" t="s">
        <v>30</v>
      </c>
      <c r="B13" s="9" t="s">
        <v>62</v>
      </c>
      <c r="C13" s="12" t="n">
        <f aca="false">SUM(C5:C12)</f>
        <v>14725</v>
      </c>
      <c r="D13" s="12" t="n">
        <f aca="false">SUM(D5:D12)</f>
        <v>11063</v>
      </c>
      <c r="E13" s="12" t="n">
        <f aca="false">SUM(E5:E12)</f>
        <v>11206</v>
      </c>
      <c r="F13" s="12" t="n">
        <f aca="false">SUM(F5:F12)</f>
        <v>36994</v>
      </c>
    </row>
    <row r="14" customFormat="false" ht="15" hidden="false" customHeight="true" outlineLevel="0" collapsed="false">
      <c r="B14" s="5" t="s">
        <v>63</v>
      </c>
      <c r="G14" s="8" t="n">
        <f aca="false">SUMPRODUCT(((B5:B12="NSW")+(B5:B12="VIC"))*F5:F12)/F13</f>
        <v>0.640103800616316</v>
      </c>
    </row>
    <row r="16" customFormat="false" ht="15" hidden="false" customHeight="true" outlineLevel="0" collapsed="false">
      <c r="A16" s="5" t="s">
        <v>64</v>
      </c>
      <c r="B16" s="5" t="s">
        <v>34</v>
      </c>
      <c r="C16" s="6" t="n">
        <v>4488</v>
      </c>
      <c r="D16" s="6" t="n">
        <v>4083</v>
      </c>
      <c r="E16" s="6" t="n">
        <v>3750</v>
      </c>
      <c r="F16" s="7" t="n">
        <f aca="false">SUM(C16:E16)</f>
        <v>12321</v>
      </c>
      <c r="G16" s="8" t="n">
        <f aca="false">F16/SUM($F$16:$F$23)</f>
        <v>0.367221030042918</v>
      </c>
      <c r="H16" s="5" t="s">
        <v>61</v>
      </c>
    </row>
    <row r="17" customFormat="false" ht="15" hidden="false" customHeight="true" outlineLevel="0" collapsed="false">
      <c r="A17" s="5" t="s">
        <v>64</v>
      </c>
      <c r="B17" s="5" t="s">
        <v>44</v>
      </c>
      <c r="C17" s="6" t="n">
        <v>3513</v>
      </c>
      <c r="D17" s="6" t="n">
        <v>2739</v>
      </c>
      <c r="E17" s="6" t="n">
        <v>2934</v>
      </c>
      <c r="F17" s="7" t="n">
        <f aca="false">SUM(C17:E17)</f>
        <v>9186</v>
      </c>
      <c r="G17" s="8" t="n">
        <f aca="false">F17/SUM($F$16:$F$23)</f>
        <v>0.273783977110157</v>
      </c>
      <c r="H17" s="5" t="s">
        <v>61</v>
      </c>
    </row>
    <row r="18" customFormat="false" ht="15" hidden="false" customHeight="true" outlineLevel="0" collapsed="false">
      <c r="A18" s="5" t="s">
        <v>64</v>
      </c>
      <c r="B18" s="5" t="s">
        <v>38</v>
      </c>
      <c r="C18" s="6" t="n">
        <v>2370</v>
      </c>
      <c r="D18" s="6" t="n">
        <v>1878</v>
      </c>
      <c r="E18" s="6" t="n">
        <v>1650</v>
      </c>
      <c r="F18" s="7" t="n">
        <f aca="false">SUM(C18:E18)</f>
        <v>5898</v>
      </c>
      <c r="G18" s="8" t="n">
        <f aca="false">F18/SUM($F$16:$F$23)</f>
        <v>0.175786838340486</v>
      </c>
      <c r="H18" s="5" t="s">
        <v>61</v>
      </c>
    </row>
    <row r="19" customFormat="false" ht="15" hidden="false" customHeight="true" outlineLevel="0" collapsed="false">
      <c r="A19" s="5" t="s">
        <v>64</v>
      </c>
      <c r="B19" s="5" t="s">
        <v>40</v>
      </c>
      <c r="C19" s="6" t="n">
        <v>612</v>
      </c>
      <c r="D19" s="6" t="n">
        <v>558</v>
      </c>
      <c r="E19" s="6" t="n">
        <v>717</v>
      </c>
      <c r="F19" s="7" t="n">
        <f aca="false">SUM(C19:E19)</f>
        <v>1887</v>
      </c>
      <c r="G19" s="8" t="n">
        <f aca="false">F19/SUM($F$16:$F$23)</f>
        <v>0.0562410586552218</v>
      </c>
      <c r="H19" s="5" t="s">
        <v>61</v>
      </c>
    </row>
    <row r="20" customFormat="false" ht="15" hidden="false" customHeight="true" outlineLevel="0" collapsed="false">
      <c r="A20" s="5" t="s">
        <v>64</v>
      </c>
      <c r="B20" s="5" t="s">
        <v>46</v>
      </c>
      <c r="C20" s="6" t="n">
        <v>1632</v>
      </c>
      <c r="D20" s="6" t="n">
        <v>738</v>
      </c>
      <c r="E20" s="6" t="n">
        <v>738</v>
      </c>
      <c r="F20" s="7" t="n">
        <f aca="false">SUM(C20:E20)</f>
        <v>3108</v>
      </c>
      <c r="G20" s="8" t="n">
        <f aca="false">F20/SUM($F$16:$F$23)</f>
        <v>0.0926323319027182</v>
      </c>
      <c r="H20" s="5" t="s">
        <v>61</v>
      </c>
    </row>
    <row r="21" customFormat="false" ht="15" hidden="false" customHeight="true" outlineLevel="0" collapsed="false">
      <c r="A21" s="5" t="s">
        <v>64</v>
      </c>
      <c r="B21" s="5" t="s">
        <v>42</v>
      </c>
      <c r="C21" s="6" t="n">
        <v>225</v>
      </c>
      <c r="D21" s="6" t="n">
        <v>147</v>
      </c>
      <c r="E21" s="6" t="n">
        <v>153</v>
      </c>
      <c r="F21" s="7" t="n">
        <f aca="false">SUM(C21:E21)</f>
        <v>525</v>
      </c>
      <c r="G21" s="8" t="n">
        <f aca="false">F21/SUM($F$16:$F$23)</f>
        <v>0.0156473533619456</v>
      </c>
      <c r="H21" s="5" t="s">
        <v>61</v>
      </c>
    </row>
    <row r="22" customFormat="false" ht="15" hidden="false" customHeight="true" outlineLevel="0" collapsed="false">
      <c r="A22" s="5" t="s">
        <v>64</v>
      </c>
      <c r="B22" s="5" t="s">
        <v>36</v>
      </c>
      <c r="C22" s="6" t="n">
        <v>84</v>
      </c>
      <c r="D22" s="6" t="n">
        <v>54</v>
      </c>
      <c r="E22" s="6" t="n">
        <v>45</v>
      </c>
      <c r="F22" s="7" t="n">
        <f aca="false">SUM(C22:E22)</f>
        <v>183</v>
      </c>
      <c r="G22" s="8" t="n">
        <f aca="false">F22/SUM($F$16:$F$23)</f>
        <v>0.00545422031473534</v>
      </c>
      <c r="H22" s="5" t="s">
        <v>61</v>
      </c>
    </row>
    <row r="23" customFormat="false" ht="15" hidden="false" customHeight="true" outlineLevel="0" collapsed="false">
      <c r="A23" s="5" t="s">
        <v>64</v>
      </c>
      <c r="B23" s="5" t="s">
        <v>32</v>
      </c>
      <c r="C23" s="6" t="n">
        <v>186</v>
      </c>
      <c r="D23" s="6" t="n">
        <v>117</v>
      </c>
      <c r="E23" s="6" t="n">
        <v>141</v>
      </c>
      <c r="F23" s="7" t="n">
        <f aca="false">SUM(C23:E23)</f>
        <v>444</v>
      </c>
      <c r="G23" s="8" t="n">
        <f aca="false">F23/SUM($F$16:$F$23)</f>
        <v>0.0132331902718169</v>
      </c>
      <c r="H23" s="5" t="s">
        <v>61</v>
      </c>
    </row>
    <row r="24" customFormat="false" ht="15" hidden="false" customHeight="true" outlineLevel="0" collapsed="false">
      <c r="A24" s="9" t="s">
        <v>64</v>
      </c>
      <c r="B24" s="9" t="s">
        <v>62</v>
      </c>
      <c r="C24" s="12" t="n">
        <f aca="false">SUM(C16:C23)</f>
        <v>13110</v>
      </c>
      <c r="D24" s="12" t="n">
        <f aca="false">SUM(D16:D23)</f>
        <v>10314</v>
      </c>
      <c r="E24" s="12" t="n">
        <f aca="false">SUM(E16:E23)</f>
        <v>10128</v>
      </c>
      <c r="F24" s="12" t="n">
        <f aca="false">SUM(F16:F23)</f>
        <v>33552</v>
      </c>
    </row>
    <row r="25" customFormat="false" ht="15" hidden="false" customHeight="true" outlineLevel="0" collapsed="false">
      <c r="B25" s="5" t="s">
        <v>63</v>
      </c>
      <c r="G25" s="8" t="n">
        <f aca="false">SUMPRODUCT(((B16:B23="NSW")+(B16:B23="VIC"))*F16:F23)/F24</f>
        <v>0.641005007153076</v>
      </c>
    </row>
    <row r="27" customFormat="false" ht="15" hidden="false" customHeight="true" outlineLevel="0" collapsed="false">
      <c r="A27" s="5" t="s">
        <v>65</v>
      </c>
      <c r="B27" s="5" t="s">
        <v>34</v>
      </c>
      <c r="C27" s="6" t="n">
        <v>4475</v>
      </c>
      <c r="D27" s="6" t="n">
        <v>4586</v>
      </c>
      <c r="E27" s="6" t="n">
        <v>5527</v>
      </c>
      <c r="F27" s="7" t="n">
        <f aca="false">SUM(C27:E27)</f>
        <v>14588</v>
      </c>
      <c r="G27" s="8" t="n">
        <f aca="false">F27/SUM($F$27:$F$34)</f>
        <v>0.370263204649864</v>
      </c>
      <c r="H27" s="5" t="s">
        <v>66</v>
      </c>
    </row>
    <row r="28" customFormat="false" ht="15" hidden="false" customHeight="true" outlineLevel="0" collapsed="false">
      <c r="A28" s="5" t="s">
        <v>65</v>
      </c>
      <c r="B28" s="5" t="s">
        <v>44</v>
      </c>
      <c r="C28" s="6" t="n">
        <v>4043</v>
      </c>
      <c r="D28" s="6" t="n">
        <v>2934</v>
      </c>
      <c r="E28" s="6" t="n">
        <v>4157</v>
      </c>
      <c r="F28" s="7" t="n">
        <f aca="false">SUM(C28:E28)</f>
        <v>11134</v>
      </c>
      <c r="G28" s="8" t="n">
        <f aca="false">F28/SUM($F$27:$F$34)</f>
        <v>0.282596004974746</v>
      </c>
      <c r="H28" s="5" t="s">
        <v>66</v>
      </c>
    </row>
    <row r="29" customFormat="false" ht="15" hidden="false" customHeight="true" outlineLevel="0" collapsed="false">
      <c r="A29" s="5" t="s">
        <v>65</v>
      </c>
      <c r="B29" s="5" t="s">
        <v>38</v>
      </c>
      <c r="C29" s="6" t="n">
        <v>2442</v>
      </c>
      <c r="D29" s="6" t="n">
        <v>2013</v>
      </c>
      <c r="E29" s="6" t="n">
        <v>2230</v>
      </c>
      <c r="F29" s="7" t="n">
        <f aca="false">SUM(C29:E29)</f>
        <v>6685</v>
      </c>
      <c r="G29" s="8" t="n">
        <f aca="false">F29/SUM($F$27:$F$34)</f>
        <v>0.169674357217188</v>
      </c>
      <c r="H29" s="5" t="s">
        <v>66</v>
      </c>
    </row>
    <row r="30" customFormat="false" ht="15" hidden="false" customHeight="true" outlineLevel="0" collapsed="false">
      <c r="A30" s="5" t="s">
        <v>65</v>
      </c>
      <c r="B30" s="5" t="s">
        <v>40</v>
      </c>
      <c r="C30" s="6" t="n">
        <v>777</v>
      </c>
      <c r="D30" s="6" t="n">
        <v>555</v>
      </c>
      <c r="E30" s="6" t="n">
        <v>841</v>
      </c>
      <c r="F30" s="7" t="n">
        <f aca="false">SUM(C30:E30)</f>
        <v>2173</v>
      </c>
      <c r="G30" s="8" t="n">
        <f aca="false">F30/SUM($F$27:$F$34)</f>
        <v>0.0551536841036575</v>
      </c>
      <c r="H30" s="5" t="s">
        <v>66</v>
      </c>
    </row>
    <row r="31" customFormat="false" ht="15" hidden="false" customHeight="true" outlineLevel="0" collapsed="false">
      <c r="A31" s="5" t="s">
        <v>65</v>
      </c>
      <c r="B31" s="5" t="s">
        <v>46</v>
      </c>
      <c r="C31" s="6" t="n">
        <v>1666</v>
      </c>
      <c r="D31" s="6" t="n">
        <v>780</v>
      </c>
      <c r="E31" s="6" t="n">
        <v>1166</v>
      </c>
      <c r="F31" s="7" t="n">
        <f aca="false">SUM(C31:E31)</f>
        <v>3612</v>
      </c>
      <c r="G31" s="8" t="n">
        <f aca="false">F31/SUM($F$27:$F$34)</f>
        <v>0.0916774537424808</v>
      </c>
      <c r="H31" s="5" t="s">
        <v>66</v>
      </c>
    </row>
    <row r="32" customFormat="false" ht="15" hidden="false" customHeight="true" outlineLevel="0" collapsed="false">
      <c r="A32" s="5" t="s">
        <v>65</v>
      </c>
      <c r="B32" s="5" t="s">
        <v>42</v>
      </c>
      <c r="C32" s="6" t="n">
        <v>235</v>
      </c>
      <c r="D32" s="6" t="n">
        <v>110</v>
      </c>
      <c r="E32" s="6" t="n">
        <v>179</v>
      </c>
      <c r="F32" s="7" t="n">
        <f aca="false">SUM(C32:E32)</f>
        <v>524</v>
      </c>
      <c r="G32" s="8" t="n">
        <f aca="false">F32/SUM($F$27:$F$34)</f>
        <v>0.0132998299449225</v>
      </c>
      <c r="H32" s="5" t="s">
        <v>66</v>
      </c>
    </row>
    <row r="33" customFormat="false" ht="15" hidden="false" customHeight="true" outlineLevel="0" collapsed="false">
      <c r="A33" s="5" t="s">
        <v>65</v>
      </c>
      <c r="B33" s="5" t="s">
        <v>36</v>
      </c>
      <c r="C33" s="6" t="n">
        <v>84</v>
      </c>
      <c r="D33" s="6" t="n">
        <v>33</v>
      </c>
      <c r="E33" s="6" t="n">
        <v>70</v>
      </c>
      <c r="F33" s="7" t="n">
        <f aca="false">SUM(C33:E33)</f>
        <v>187</v>
      </c>
      <c r="G33" s="8" t="n">
        <f aca="false">F33/SUM($F$27:$F$34)</f>
        <v>0.00474631335820706</v>
      </c>
      <c r="H33" s="5" t="s">
        <v>66</v>
      </c>
    </row>
    <row r="34" customFormat="false" ht="15" hidden="false" customHeight="true" outlineLevel="0" collapsed="false">
      <c r="A34" s="5" t="s">
        <v>65</v>
      </c>
      <c r="B34" s="5" t="s">
        <v>32</v>
      </c>
      <c r="C34" s="6" t="n">
        <v>209</v>
      </c>
      <c r="D34" s="6" t="n">
        <v>118</v>
      </c>
      <c r="E34" s="6" t="n">
        <v>169</v>
      </c>
      <c r="F34" s="7" t="n">
        <f aca="false">SUM(C34:E34)</f>
        <v>496</v>
      </c>
      <c r="G34" s="8" t="n">
        <f aca="false">F34/SUM($F$27:$F$34)</f>
        <v>0.0125891520089342</v>
      </c>
      <c r="H34" s="5" t="s">
        <v>66</v>
      </c>
    </row>
    <row r="35" customFormat="false" ht="15" hidden="false" customHeight="true" outlineLevel="0" collapsed="false">
      <c r="A35" s="9" t="s">
        <v>65</v>
      </c>
      <c r="B35" s="9" t="s">
        <v>62</v>
      </c>
      <c r="C35" s="12" t="n">
        <f aca="false">SUM(C27:C34)</f>
        <v>13931</v>
      </c>
      <c r="D35" s="12" t="n">
        <f aca="false">SUM(D27:D34)</f>
        <v>11129</v>
      </c>
      <c r="E35" s="12" t="n">
        <f aca="false">SUM(E27:E34)</f>
        <v>14339</v>
      </c>
      <c r="F35" s="12" t="n">
        <f aca="false">SUM(F27:F34)</f>
        <v>39399</v>
      </c>
    </row>
    <row r="36" customFormat="false" ht="15" hidden="false" customHeight="true" outlineLevel="0" collapsed="false">
      <c r="B36" s="5" t="s">
        <v>63</v>
      </c>
      <c r="G36" s="8" t="n">
        <f aca="false">SUMPRODUCT(((B27:B34="NSW")+(B27:B34="VIC"))*F27:F34)/F35</f>
        <v>0.65285920962461</v>
      </c>
    </row>
    <row r="38" customFormat="false" ht="15" hidden="false" customHeight="true" outlineLevel="0" collapsed="false">
      <c r="A38" s="10" t="s">
        <v>15</v>
      </c>
    </row>
    <row r="39" customFormat="false" ht="15" hidden="false" customHeight="true" outlineLevel="0" collapsed="false">
      <c r="A39" s="11" t="s">
        <v>16</v>
      </c>
    </row>
    <row r="40" customFormat="false" ht="15" hidden="false" customHeight="true" outlineLevel="0" collapsed="false">
      <c r="A40" s="11" t="s">
        <v>67</v>
      </c>
    </row>
    <row r="41" customFormat="false" ht="15" hidden="false" customHeight="true" outlineLevel="0" collapsed="false">
      <c r="A41" s="11" t="s">
        <v>68</v>
      </c>
    </row>
    <row r="42" customFormat="false" ht="15" hidden="false" customHeight="true" outlineLevel="0" collapsed="false">
      <c r="A42" s="11" t="s">
        <v>69</v>
      </c>
    </row>
    <row r="43" customFormat="false" ht="15" hidden="false" customHeight="true" outlineLevel="0" collapsed="false">
      <c r="A43" s="11" t="s">
        <v>70</v>
      </c>
    </row>
    <row r="44" customFormat="false" ht="15" hidden="false" customHeight="true" outlineLevel="0" collapsed="false">
      <c r="A44" s="11" t="s">
        <v>71</v>
      </c>
    </row>
    <row r="45" customFormat="false" ht="15" hidden="false" customHeight="true" outlineLevel="0" collapsed="false">
      <c r="A45" s="11" t="s">
        <v>72</v>
      </c>
    </row>
    <row r="46" customFormat="false" ht="15" hidden="false" customHeight="true" outlineLevel="0" collapsed="false">
      <c r="A46" s="11"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9"/>
    <col collapsed="false" customWidth="true" hidden="false" outlineLevel="0" max="4" min="3" style="0" width="11"/>
    <col collapsed="false" customWidth="true" hidden="false" outlineLevel="0" max="7" min="5" style="0" width="9"/>
    <col collapsed="false" customWidth="true" hidden="false" outlineLevel="0" max="8" min="8" style="0" width="14"/>
    <col collapsed="false" customWidth="true" hidden="false" outlineLevel="0" max="9" min="9" style="0" width="12"/>
    <col collapsed="false" customWidth="true" hidden="false" outlineLevel="0" max="10" min="10" style="0" width="9"/>
    <col collapsed="false" customWidth="true" hidden="false" outlineLevel="0" max="11" min="11" style="0" width="11"/>
    <col collapsed="false" customWidth="true" hidden="false" outlineLevel="0" max="12" min="12" style="0" width="32"/>
  </cols>
  <sheetData>
    <row r="1" customFormat="false" ht="16.15" hidden="false" customHeight="false" outlineLevel="0" collapsed="false">
      <c r="A1" s="14" t="s">
        <v>74</v>
      </c>
    </row>
    <row r="2" customFormat="false" ht="15" hidden="false" customHeight="false" outlineLevel="0" collapsed="false">
      <c r="A2" s="15" t="s">
        <v>75</v>
      </c>
    </row>
    <row r="4" customFormat="false" ht="45" hidden="false" customHeight="true" outlineLevel="0" collapsed="false">
      <c r="A4" s="4" t="s">
        <v>76</v>
      </c>
      <c r="B4" s="4" t="s">
        <v>77</v>
      </c>
      <c r="C4" s="4" t="s">
        <v>78</v>
      </c>
      <c r="D4" s="4" t="s">
        <v>79</v>
      </c>
      <c r="E4" s="4" t="s">
        <v>80</v>
      </c>
      <c r="F4" s="4" t="s">
        <v>81</v>
      </c>
      <c r="G4" s="4" t="s">
        <v>82</v>
      </c>
      <c r="H4" s="4" t="s">
        <v>83</v>
      </c>
      <c r="I4" s="4" t="s">
        <v>84</v>
      </c>
      <c r="J4" s="4" t="s">
        <v>85</v>
      </c>
      <c r="K4" s="4" t="s">
        <v>86</v>
      </c>
      <c r="L4" s="4" t="s">
        <v>87</v>
      </c>
    </row>
    <row r="5" customFormat="false" ht="15" hidden="false" customHeight="false" outlineLevel="0" collapsed="false">
      <c r="A5" s="16" t="s">
        <v>88</v>
      </c>
      <c r="B5" s="16" t="s">
        <v>89</v>
      </c>
      <c r="C5" s="17" t="n">
        <v>56100</v>
      </c>
      <c r="D5" s="18" t="n">
        <f aca="false">C5/$C$9</f>
        <v>0.447725458898643</v>
      </c>
      <c r="E5" s="19" t="n">
        <v>0.5</v>
      </c>
      <c r="F5" s="19" t="n">
        <v>0.77</v>
      </c>
      <c r="G5" s="20" t="n">
        <v>37</v>
      </c>
      <c r="H5" s="21" t="n">
        <v>1500</v>
      </c>
      <c r="I5" s="22" t="n">
        <v>500</v>
      </c>
      <c r="J5" s="16" t="s">
        <v>34</v>
      </c>
      <c r="K5" s="23" t="n">
        <v>0.379</v>
      </c>
      <c r="L5" s="16" t="s">
        <v>90</v>
      </c>
    </row>
    <row r="6" customFormat="false" ht="15" hidden="false" customHeight="false" outlineLevel="0" collapsed="false">
      <c r="A6" s="16" t="s">
        <v>91</v>
      </c>
      <c r="B6" s="16" t="s">
        <v>92</v>
      </c>
      <c r="C6" s="17" t="n">
        <v>35800</v>
      </c>
      <c r="D6" s="18" t="n">
        <f aca="false">C6/$C$9</f>
        <v>0.285714285714286</v>
      </c>
      <c r="E6" s="19" t="n">
        <v>0.37</v>
      </c>
      <c r="F6" s="19" t="n">
        <v>0.78</v>
      </c>
      <c r="G6" s="20" t="n">
        <v>41</v>
      </c>
      <c r="H6" s="21" t="n">
        <v>2308</v>
      </c>
      <c r="I6" s="22" t="n">
        <v>1000</v>
      </c>
      <c r="J6" s="16" t="s">
        <v>34</v>
      </c>
      <c r="K6" s="23" t="n">
        <v>0.362</v>
      </c>
      <c r="L6" s="16" t="s">
        <v>93</v>
      </c>
    </row>
    <row r="7" customFormat="false" ht="15" hidden="false" customHeight="false" outlineLevel="0" collapsed="false">
      <c r="A7" s="16" t="s">
        <v>94</v>
      </c>
      <c r="B7" s="16" t="s">
        <v>95</v>
      </c>
      <c r="C7" s="17" t="n">
        <v>19300</v>
      </c>
      <c r="D7" s="18" t="n">
        <f aca="false">C7/$C$9</f>
        <v>0.154030327214685</v>
      </c>
      <c r="E7" s="19" t="n">
        <v>0.73</v>
      </c>
      <c r="F7" s="19" t="n">
        <v>0.7</v>
      </c>
      <c r="G7" s="20" t="n">
        <v>40</v>
      </c>
      <c r="H7" s="21" t="n">
        <v>1692</v>
      </c>
      <c r="I7" s="22" t="n">
        <v>700</v>
      </c>
      <c r="J7" s="16" t="s">
        <v>34</v>
      </c>
      <c r="K7" s="23" t="n">
        <v>0.416</v>
      </c>
      <c r="L7" s="16" t="s">
        <v>93</v>
      </c>
    </row>
    <row r="8" customFormat="false" ht="15" hidden="false" customHeight="false" outlineLevel="0" collapsed="false">
      <c r="A8" s="16" t="s">
        <v>96</v>
      </c>
      <c r="B8" s="16" t="s">
        <v>97</v>
      </c>
      <c r="C8" s="17" t="n">
        <v>14100</v>
      </c>
      <c r="D8" s="18" t="n">
        <f aca="false">C8/$C$9</f>
        <v>0.112529928172386</v>
      </c>
      <c r="E8" s="19" t="n">
        <v>0.51</v>
      </c>
      <c r="F8" s="19" t="n">
        <v>0.77</v>
      </c>
      <c r="G8" s="20" t="n">
        <v>40</v>
      </c>
      <c r="H8" s="16" t="s">
        <v>98</v>
      </c>
      <c r="I8" s="22" t="n">
        <v>0</v>
      </c>
      <c r="J8" s="16" t="s">
        <v>44</v>
      </c>
      <c r="K8" s="23" t="n">
        <v>0.395</v>
      </c>
      <c r="L8" s="16" t="s">
        <v>93</v>
      </c>
    </row>
    <row r="9" customFormat="false" ht="15" hidden="false" customHeight="false" outlineLevel="0" collapsed="false">
      <c r="A9" s="24" t="s">
        <v>99</v>
      </c>
      <c r="C9" s="25" t="n">
        <f aca="false">SUM(C5:C8)</f>
        <v>125300</v>
      </c>
      <c r="I9" s="26" t="n">
        <f aca="false">SUM(I5:I8)</f>
        <v>2200</v>
      </c>
    </row>
    <row r="11" customFormat="false" ht="15" hidden="false" customHeight="false" outlineLevel="0" collapsed="false">
      <c r="A11" s="27" t="s">
        <v>15</v>
      </c>
    </row>
    <row r="12" customFormat="false" ht="15" hidden="false" customHeight="false" outlineLevel="0" collapsed="false">
      <c r="A12" s="28" t="s">
        <v>16</v>
      </c>
    </row>
    <row r="13" customFormat="false" ht="15" hidden="false" customHeight="false" outlineLevel="0" collapsed="false">
      <c r="A13" s="28" t="s">
        <v>100</v>
      </c>
    </row>
    <row r="14" customFormat="false" ht="15" hidden="false" customHeight="false" outlineLevel="0" collapsed="false">
      <c r="A14" s="28" t="s">
        <v>101</v>
      </c>
    </row>
    <row r="15" customFormat="false" ht="15" hidden="false" customHeight="false" outlineLevel="0" collapsed="false">
      <c r="A15" s="28"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2026-10-20T17:17:22Z</dcterms:created>
  <dc:creator>openpyxl</dc:creator>
  <dc:description/>
  <dc:language>en-US</dc:language>
  <cp:lastModifiedBy/>
  <dcterms:modified xsi:type="dcterms:W3CDTF">2026-10-20T17:59:09Z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